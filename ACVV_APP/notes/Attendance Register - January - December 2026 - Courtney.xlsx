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ovanEck\Desktop\Market Updates\"/>
    </mc:Choice>
  </mc:AlternateContent>
  <xr:revisionPtr revIDLastSave="0" documentId="13_ncr:1_{B91E2CD9-8FAA-418E-AD6E-F2252593F033}" xr6:coauthVersionLast="47" xr6:coauthVersionMax="47" xr10:uidLastSave="{00000000-0000-0000-0000-000000000000}"/>
  <bookViews>
    <workbookView xWindow="-108" yWindow="-108" windowWidth="23256" windowHeight="12456" xr2:uid="{1FEFE0B7-0D08-4A4F-BEC5-F4A4D0414F82}"/>
  </bookViews>
  <sheets>
    <sheet name="January2026" sheetId="1" r:id="rId1"/>
    <sheet name="February2026" sheetId="2" r:id="rId2"/>
    <sheet name="March2026" sheetId="3" r:id="rId3"/>
    <sheet name="April2026" sheetId="4" r:id="rId4"/>
    <sheet name="May2026" sheetId="5" r:id="rId5"/>
    <sheet name="June2026" sheetId="6" r:id="rId6"/>
    <sheet name="July2026" sheetId="7" r:id="rId7"/>
    <sheet name="August2026" sheetId="8" r:id="rId8"/>
    <sheet name="September2026" sheetId="9" r:id="rId9"/>
    <sheet name="October2026" sheetId="10" r:id="rId10"/>
    <sheet name="November2026" sheetId="11" r:id="rId11"/>
    <sheet name="December2026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12" l="1"/>
  <c r="P46" i="12"/>
  <c r="M46" i="12"/>
  <c r="I45" i="12"/>
  <c r="G45" i="12"/>
  <c r="I44" i="12"/>
  <c r="G44" i="12"/>
  <c r="I43" i="12"/>
  <c r="G43" i="12"/>
  <c r="I42" i="12"/>
  <c r="G42" i="12"/>
  <c r="I41" i="12"/>
  <c r="G41" i="12"/>
  <c r="I40" i="12"/>
  <c r="G40" i="12"/>
  <c r="I39" i="12"/>
  <c r="J39" i="12" s="1"/>
  <c r="G39" i="12"/>
  <c r="I38" i="12"/>
  <c r="G38" i="12"/>
  <c r="I37" i="12"/>
  <c r="G37" i="12"/>
  <c r="I36" i="12"/>
  <c r="G36" i="12"/>
  <c r="I35" i="12"/>
  <c r="G35" i="12"/>
  <c r="I34" i="12"/>
  <c r="G34" i="12"/>
  <c r="I33" i="12"/>
  <c r="G33" i="12"/>
  <c r="I32" i="12"/>
  <c r="J32" i="12" s="1"/>
  <c r="G32" i="12"/>
  <c r="I31" i="12"/>
  <c r="G31" i="12"/>
  <c r="I30" i="12"/>
  <c r="G30" i="12"/>
  <c r="I29" i="12"/>
  <c r="G29" i="12"/>
  <c r="I28" i="12"/>
  <c r="G28" i="12"/>
  <c r="I27" i="12"/>
  <c r="G27" i="12"/>
  <c r="I26" i="12"/>
  <c r="G26" i="12"/>
  <c r="I25" i="12"/>
  <c r="J25" i="12" s="1"/>
  <c r="G25" i="12"/>
  <c r="I24" i="12"/>
  <c r="G24" i="12"/>
  <c r="I23" i="12"/>
  <c r="G23" i="12"/>
  <c r="I22" i="12"/>
  <c r="G22" i="12"/>
  <c r="I21" i="12"/>
  <c r="G21" i="12"/>
  <c r="I20" i="12"/>
  <c r="G20" i="12"/>
  <c r="I19" i="12"/>
  <c r="G19" i="12"/>
  <c r="I18" i="12"/>
  <c r="J18" i="12" s="1"/>
  <c r="G18" i="12"/>
  <c r="I17" i="12"/>
  <c r="G17" i="12"/>
  <c r="I16" i="12"/>
  <c r="G16" i="12"/>
  <c r="I15" i="12"/>
  <c r="G15" i="12"/>
  <c r="I14" i="12"/>
  <c r="G14" i="12"/>
  <c r="I13" i="12"/>
  <c r="G13" i="12"/>
  <c r="I12" i="12"/>
  <c r="G12" i="12"/>
  <c r="I11" i="12"/>
  <c r="J11" i="12" s="1"/>
  <c r="J46" i="12" s="1"/>
  <c r="G11" i="12"/>
  <c r="G46" i="12" s="1"/>
  <c r="S46" i="11"/>
  <c r="P46" i="11"/>
  <c r="M46" i="11"/>
  <c r="I45" i="11"/>
  <c r="G45" i="11"/>
  <c r="I44" i="11"/>
  <c r="G44" i="11"/>
  <c r="I43" i="11"/>
  <c r="G43" i="11"/>
  <c r="I42" i="11"/>
  <c r="G42" i="11"/>
  <c r="I41" i="11"/>
  <c r="J39" i="11" s="1"/>
  <c r="G41" i="11"/>
  <c r="I40" i="11"/>
  <c r="G40" i="11"/>
  <c r="I39" i="11"/>
  <c r="G39" i="11"/>
  <c r="I38" i="11"/>
  <c r="G38" i="11"/>
  <c r="I37" i="11"/>
  <c r="G37" i="11"/>
  <c r="I36" i="11"/>
  <c r="G36" i="11"/>
  <c r="I35" i="11"/>
  <c r="G35" i="11"/>
  <c r="I34" i="11"/>
  <c r="G34" i="11"/>
  <c r="I33" i="11"/>
  <c r="G33" i="11"/>
  <c r="I32" i="11"/>
  <c r="J32" i="11" s="1"/>
  <c r="G32" i="11"/>
  <c r="I31" i="11"/>
  <c r="G31" i="11"/>
  <c r="I30" i="11"/>
  <c r="G30" i="11"/>
  <c r="I29" i="11"/>
  <c r="G29" i="11"/>
  <c r="I28" i="11"/>
  <c r="G28" i="11"/>
  <c r="I27" i="11"/>
  <c r="G27" i="11"/>
  <c r="I26" i="11"/>
  <c r="G26" i="11"/>
  <c r="I25" i="11"/>
  <c r="J25" i="11" s="1"/>
  <c r="G25" i="11"/>
  <c r="I24" i="11"/>
  <c r="G24" i="11"/>
  <c r="I23" i="11"/>
  <c r="G23" i="11"/>
  <c r="I22" i="11"/>
  <c r="G22" i="11"/>
  <c r="I21" i="11"/>
  <c r="G21" i="11"/>
  <c r="I20" i="11"/>
  <c r="G20" i="11"/>
  <c r="I19" i="11"/>
  <c r="G19" i="11"/>
  <c r="I18" i="11"/>
  <c r="J18" i="11" s="1"/>
  <c r="G18" i="11"/>
  <c r="I17" i="11"/>
  <c r="G17" i="11"/>
  <c r="I16" i="11"/>
  <c r="G16" i="11"/>
  <c r="I15" i="11"/>
  <c r="G15" i="11"/>
  <c r="I14" i="11"/>
  <c r="G14" i="11"/>
  <c r="I13" i="11"/>
  <c r="J11" i="11" s="1"/>
  <c r="J46" i="11" s="1"/>
  <c r="G13" i="11"/>
  <c r="I12" i="11"/>
  <c r="G12" i="11"/>
  <c r="G46" i="11" s="1"/>
  <c r="I11" i="11"/>
  <c r="G11" i="11"/>
  <c r="S46" i="10"/>
  <c r="P46" i="10"/>
  <c r="M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J39" i="10" s="1"/>
  <c r="G39" i="10"/>
  <c r="I38" i="10"/>
  <c r="G38" i="10"/>
  <c r="I37" i="10"/>
  <c r="G37" i="10"/>
  <c r="I36" i="10"/>
  <c r="G36" i="10"/>
  <c r="I35" i="10"/>
  <c r="G35" i="10"/>
  <c r="I34" i="10"/>
  <c r="G34" i="10"/>
  <c r="I33" i="10"/>
  <c r="G33" i="10"/>
  <c r="I32" i="10"/>
  <c r="J32" i="10" s="1"/>
  <c r="G32" i="10"/>
  <c r="I31" i="10"/>
  <c r="G31" i="10"/>
  <c r="I30" i="10"/>
  <c r="G30" i="10"/>
  <c r="I29" i="10"/>
  <c r="G29" i="10"/>
  <c r="I28" i="10"/>
  <c r="G28" i="10"/>
  <c r="I27" i="10"/>
  <c r="G27" i="10"/>
  <c r="I26" i="10"/>
  <c r="G26" i="10"/>
  <c r="J25" i="10"/>
  <c r="I25" i="10"/>
  <c r="G25" i="10"/>
  <c r="I24" i="10"/>
  <c r="G24" i="10"/>
  <c r="I23" i="10"/>
  <c r="G23" i="10"/>
  <c r="I22" i="10"/>
  <c r="G22" i="10"/>
  <c r="I21" i="10"/>
  <c r="G21" i="10"/>
  <c r="I20" i="10"/>
  <c r="G20" i="10"/>
  <c r="I19" i="10"/>
  <c r="G19" i="10"/>
  <c r="I18" i="10"/>
  <c r="J18" i="10" s="1"/>
  <c r="G18" i="10"/>
  <c r="I17" i="10"/>
  <c r="G17" i="10"/>
  <c r="I16" i="10"/>
  <c r="G16" i="10"/>
  <c r="I15" i="10"/>
  <c r="G15" i="10"/>
  <c r="I14" i="10"/>
  <c r="G14" i="10"/>
  <c r="I13" i="10"/>
  <c r="G13" i="10"/>
  <c r="I12" i="10"/>
  <c r="G12" i="10"/>
  <c r="I11" i="10"/>
  <c r="J11" i="10" s="1"/>
  <c r="G11" i="10"/>
  <c r="G46" i="10" s="1"/>
  <c r="S46" i="9"/>
  <c r="P46" i="9"/>
  <c r="M46" i="9"/>
  <c r="I45" i="9"/>
  <c r="G45" i="9"/>
  <c r="I44" i="9"/>
  <c r="G44" i="9"/>
  <c r="I43" i="9"/>
  <c r="G43" i="9"/>
  <c r="I42" i="9"/>
  <c r="G42" i="9"/>
  <c r="I41" i="9"/>
  <c r="G41" i="9"/>
  <c r="I40" i="9"/>
  <c r="G40" i="9"/>
  <c r="I39" i="9"/>
  <c r="J39" i="9" s="1"/>
  <c r="G39" i="9"/>
  <c r="I38" i="9"/>
  <c r="G38" i="9"/>
  <c r="I37" i="9"/>
  <c r="G37" i="9"/>
  <c r="I36" i="9"/>
  <c r="G36" i="9"/>
  <c r="I35" i="9"/>
  <c r="G35" i="9"/>
  <c r="I34" i="9"/>
  <c r="G34" i="9"/>
  <c r="I33" i="9"/>
  <c r="G33" i="9"/>
  <c r="I32" i="9"/>
  <c r="J32" i="9" s="1"/>
  <c r="G32" i="9"/>
  <c r="I31" i="9"/>
  <c r="G31" i="9"/>
  <c r="I30" i="9"/>
  <c r="G30" i="9"/>
  <c r="I29" i="9"/>
  <c r="G29" i="9"/>
  <c r="I28" i="9"/>
  <c r="G28" i="9"/>
  <c r="I27" i="9"/>
  <c r="G27" i="9"/>
  <c r="I26" i="9"/>
  <c r="G26" i="9"/>
  <c r="I25" i="9"/>
  <c r="J25" i="9" s="1"/>
  <c r="G25" i="9"/>
  <c r="I24" i="9"/>
  <c r="G24" i="9"/>
  <c r="I23" i="9"/>
  <c r="G23" i="9"/>
  <c r="I22" i="9"/>
  <c r="G22" i="9"/>
  <c r="I21" i="9"/>
  <c r="G21" i="9"/>
  <c r="I20" i="9"/>
  <c r="G20" i="9"/>
  <c r="I19" i="9"/>
  <c r="G19" i="9"/>
  <c r="I18" i="9"/>
  <c r="J18" i="9" s="1"/>
  <c r="G18" i="9"/>
  <c r="I17" i="9"/>
  <c r="G17" i="9"/>
  <c r="I16" i="9"/>
  <c r="G16" i="9"/>
  <c r="I15" i="9"/>
  <c r="G15" i="9"/>
  <c r="I14" i="9"/>
  <c r="G14" i="9"/>
  <c r="I13" i="9"/>
  <c r="G13" i="9"/>
  <c r="I12" i="9"/>
  <c r="G12" i="9"/>
  <c r="I11" i="9"/>
  <c r="J11" i="9" s="1"/>
  <c r="J46" i="9" s="1"/>
  <c r="G11" i="9"/>
  <c r="G46" i="9" s="1"/>
  <c r="S46" i="8"/>
  <c r="P46" i="8"/>
  <c r="M46" i="8"/>
  <c r="I45" i="8"/>
  <c r="G45" i="8"/>
  <c r="I44" i="8"/>
  <c r="G44" i="8"/>
  <c r="I43" i="8"/>
  <c r="G43" i="8"/>
  <c r="I42" i="8"/>
  <c r="G42" i="8"/>
  <c r="I41" i="8"/>
  <c r="G41" i="8"/>
  <c r="I40" i="8"/>
  <c r="G40" i="8"/>
  <c r="I39" i="8"/>
  <c r="J39" i="8" s="1"/>
  <c r="G39" i="8"/>
  <c r="I38" i="8"/>
  <c r="G38" i="8"/>
  <c r="I37" i="8"/>
  <c r="G37" i="8"/>
  <c r="I36" i="8"/>
  <c r="G36" i="8"/>
  <c r="I35" i="8"/>
  <c r="G35" i="8"/>
  <c r="I34" i="8"/>
  <c r="G34" i="8"/>
  <c r="I33" i="8"/>
  <c r="G33" i="8"/>
  <c r="I32" i="8"/>
  <c r="J32" i="8" s="1"/>
  <c r="G32" i="8"/>
  <c r="I31" i="8"/>
  <c r="G31" i="8"/>
  <c r="I30" i="8"/>
  <c r="G30" i="8"/>
  <c r="I29" i="8"/>
  <c r="G29" i="8"/>
  <c r="I28" i="8"/>
  <c r="G28" i="8"/>
  <c r="I27" i="8"/>
  <c r="G27" i="8"/>
  <c r="I26" i="8"/>
  <c r="G26" i="8"/>
  <c r="I25" i="8"/>
  <c r="J25" i="8" s="1"/>
  <c r="G25" i="8"/>
  <c r="I24" i="8"/>
  <c r="G24" i="8"/>
  <c r="I23" i="8"/>
  <c r="G23" i="8"/>
  <c r="I22" i="8"/>
  <c r="G22" i="8"/>
  <c r="I21" i="8"/>
  <c r="G21" i="8"/>
  <c r="I20" i="8"/>
  <c r="G20" i="8"/>
  <c r="I19" i="8"/>
  <c r="G19" i="8"/>
  <c r="J18" i="8"/>
  <c r="I18" i="8"/>
  <c r="G18" i="8"/>
  <c r="I17" i="8"/>
  <c r="G17" i="8"/>
  <c r="I16" i="8"/>
  <c r="G16" i="8"/>
  <c r="I15" i="8"/>
  <c r="G15" i="8"/>
  <c r="I14" i="8"/>
  <c r="G14" i="8"/>
  <c r="I13" i="8"/>
  <c r="G13" i="8"/>
  <c r="I12" i="8"/>
  <c r="G12" i="8"/>
  <c r="I11" i="8"/>
  <c r="J11" i="8" s="1"/>
  <c r="J46" i="8" s="1"/>
  <c r="G11" i="8"/>
  <c r="G46" i="8" s="1"/>
  <c r="S46" i="7"/>
  <c r="P46" i="7"/>
  <c r="M46" i="7"/>
  <c r="I45" i="7"/>
  <c r="G45" i="7"/>
  <c r="I44" i="7"/>
  <c r="G44" i="7"/>
  <c r="I43" i="7"/>
  <c r="G43" i="7"/>
  <c r="I42" i="7"/>
  <c r="G42" i="7"/>
  <c r="I41" i="7"/>
  <c r="G41" i="7"/>
  <c r="I40" i="7"/>
  <c r="G40" i="7"/>
  <c r="I39" i="7"/>
  <c r="J39" i="7" s="1"/>
  <c r="G39" i="7"/>
  <c r="I38" i="7"/>
  <c r="G38" i="7"/>
  <c r="I37" i="7"/>
  <c r="G37" i="7"/>
  <c r="I36" i="7"/>
  <c r="G36" i="7"/>
  <c r="I35" i="7"/>
  <c r="G35" i="7"/>
  <c r="I34" i="7"/>
  <c r="G34" i="7"/>
  <c r="I33" i="7"/>
  <c r="G33" i="7"/>
  <c r="I32" i="7"/>
  <c r="J32" i="7" s="1"/>
  <c r="G32" i="7"/>
  <c r="I31" i="7"/>
  <c r="G31" i="7"/>
  <c r="I30" i="7"/>
  <c r="G30" i="7"/>
  <c r="I29" i="7"/>
  <c r="G29" i="7"/>
  <c r="I28" i="7"/>
  <c r="G28" i="7"/>
  <c r="I27" i="7"/>
  <c r="G27" i="7"/>
  <c r="I26" i="7"/>
  <c r="G26" i="7"/>
  <c r="I25" i="7"/>
  <c r="J25" i="7" s="1"/>
  <c r="G25" i="7"/>
  <c r="I24" i="7"/>
  <c r="G24" i="7"/>
  <c r="I23" i="7"/>
  <c r="G23" i="7"/>
  <c r="I22" i="7"/>
  <c r="G22" i="7"/>
  <c r="I21" i="7"/>
  <c r="G21" i="7"/>
  <c r="I20" i="7"/>
  <c r="G20" i="7"/>
  <c r="I19" i="7"/>
  <c r="G19" i="7"/>
  <c r="I18" i="7"/>
  <c r="J18" i="7" s="1"/>
  <c r="G18" i="7"/>
  <c r="I17" i="7"/>
  <c r="G17" i="7"/>
  <c r="I16" i="7"/>
  <c r="G16" i="7"/>
  <c r="I15" i="7"/>
  <c r="G15" i="7"/>
  <c r="I14" i="7"/>
  <c r="G14" i="7"/>
  <c r="I13" i="7"/>
  <c r="G13" i="7"/>
  <c r="I12" i="7"/>
  <c r="G12" i="7"/>
  <c r="I11" i="7"/>
  <c r="J11" i="7" s="1"/>
  <c r="G11" i="7"/>
  <c r="G46" i="7" s="1"/>
  <c r="I45" i="6"/>
  <c r="G45" i="6"/>
  <c r="I44" i="6"/>
  <c r="G44" i="6"/>
  <c r="I43" i="6"/>
  <c r="G43" i="6"/>
  <c r="I42" i="6"/>
  <c r="G42" i="6"/>
  <c r="I41" i="6"/>
  <c r="G41" i="6"/>
  <c r="I40" i="6"/>
  <c r="G40" i="6"/>
  <c r="I39" i="6"/>
  <c r="J39" i="6" s="1"/>
  <c r="G39" i="6"/>
  <c r="S46" i="6"/>
  <c r="P46" i="6"/>
  <c r="M46" i="6"/>
  <c r="I38" i="6"/>
  <c r="G38" i="6"/>
  <c r="I37" i="6"/>
  <c r="G37" i="6"/>
  <c r="I36" i="6"/>
  <c r="G36" i="6"/>
  <c r="I35" i="6"/>
  <c r="G35" i="6"/>
  <c r="I34" i="6"/>
  <c r="G34" i="6"/>
  <c r="I33" i="6"/>
  <c r="G33" i="6"/>
  <c r="I32" i="6"/>
  <c r="G32" i="6"/>
  <c r="I31" i="6"/>
  <c r="G31" i="6"/>
  <c r="I30" i="6"/>
  <c r="G30" i="6"/>
  <c r="I29" i="6"/>
  <c r="G29" i="6"/>
  <c r="I28" i="6"/>
  <c r="J25" i="6" s="1"/>
  <c r="G28" i="6"/>
  <c r="I27" i="6"/>
  <c r="G27" i="6"/>
  <c r="I26" i="6"/>
  <c r="G26" i="6"/>
  <c r="I25" i="6"/>
  <c r="G25" i="6"/>
  <c r="I24" i="6"/>
  <c r="G24" i="6"/>
  <c r="I23" i="6"/>
  <c r="G23" i="6"/>
  <c r="I22" i="6"/>
  <c r="G22" i="6"/>
  <c r="I21" i="6"/>
  <c r="G21" i="6"/>
  <c r="I20" i="6"/>
  <c r="G20" i="6"/>
  <c r="I19" i="6"/>
  <c r="G19" i="6"/>
  <c r="I18" i="6"/>
  <c r="J18" i="6" s="1"/>
  <c r="G18" i="6"/>
  <c r="I17" i="6"/>
  <c r="G17" i="6"/>
  <c r="I16" i="6"/>
  <c r="G16" i="6"/>
  <c r="I15" i="6"/>
  <c r="G15" i="6"/>
  <c r="I14" i="6"/>
  <c r="G14" i="6"/>
  <c r="I13" i="6"/>
  <c r="G13" i="6"/>
  <c r="I12" i="6"/>
  <c r="G12" i="6"/>
  <c r="I11" i="6"/>
  <c r="J11" i="6" s="1"/>
  <c r="G11" i="6"/>
  <c r="S39" i="5"/>
  <c r="P39" i="5"/>
  <c r="M39" i="5"/>
  <c r="I38" i="5"/>
  <c r="G38" i="5"/>
  <c r="I37" i="5"/>
  <c r="G37" i="5"/>
  <c r="I36" i="5"/>
  <c r="G36" i="5"/>
  <c r="I35" i="5"/>
  <c r="G35" i="5"/>
  <c r="I34" i="5"/>
  <c r="G34" i="5"/>
  <c r="I33" i="5"/>
  <c r="G33" i="5"/>
  <c r="I32" i="5"/>
  <c r="G32" i="5"/>
  <c r="I31" i="5"/>
  <c r="G31" i="5"/>
  <c r="I30" i="5"/>
  <c r="G30" i="5"/>
  <c r="I29" i="5"/>
  <c r="G29" i="5"/>
  <c r="I28" i="5"/>
  <c r="G28" i="5"/>
  <c r="I27" i="5"/>
  <c r="G27" i="5"/>
  <c r="I26" i="5"/>
  <c r="G26" i="5"/>
  <c r="I25" i="5"/>
  <c r="J25" i="5" s="1"/>
  <c r="G25" i="5"/>
  <c r="I24" i="5"/>
  <c r="G24" i="5"/>
  <c r="I23" i="5"/>
  <c r="G23" i="5"/>
  <c r="I22" i="5"/>
  <c r="G22" i="5"/>
  <c r="I21" i="5"/>
  <c r="G21" i="5"/>
  <c r="I20" i="5"/>
  <c r="G20" i="5"/>
  <c r="I19" i="5"/>
  <c r="G19" i="5"/>
  <c r="I18" i="5"/>
  <c r="G18" i="5"/>
  <c r="I17" i="5"/>
  <c r="G17" i="5"/>
  <c r="I16" i="5"/>
  <c r="G16" i="5"/>
  <c r="I15" i="5"/>
  <c r="G15" i="5"/>
  <c r="I14" i="5"/>
  <c r="G14" i="5"/>
  <c r="I13" i="5"/>
  <c r="G13" i="5"/>
  <c r="I12" i="5"/>
  <c r="G12" i="5"/>
  <c r="I11" i="5"/>
  <c r="G11" i="5"/>
  <c r="S46" i="4"/>
  <c r="P46" i="4"/>
  <c r="M46" i="4"/>
  <c r="I45" i="4"/>
  <c r="G45" i="4"/>
  <c r="I44" i="4"/>
  <c r="G44" i="4"/>
  <c r="I43" i="4"/>
  <c r="G43" i="4"/>
  <c r="I42" i="4"/>
  <c r="G42" i="4"/>
  <c r="I41" i="4"/>
  <c r="G41" i="4"/>
  <c r="I40" i="4"/>
  <c r="G40" i="4"/>
  <c r="J39" i="4"/>
  <c r="I39" i="4"/>
  <c r="G39" i="4"/>
  <c r="I38" i="4"/>
  <c r="G38" i="4"/>
  <c r="I37" i="4"/>
  <c r="G37" i="4"/>
  <c r="I36" i="4"/>
  <c r="G36" i="4"/>
  <c r="I35" i="4"/>
  <c r="G35" i="4"/>
  <c r="I34" i="4"/>
  <c r="G34" i="4"/>
  <c r="G46" i="4" s="1"/>
  <c r="I33" i="4"/>
  <c r="G33" i="4"/>
  <c r="I32" i="4"/>
  <c r="J32" i="4" s="1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J25" i="4" s="1"/>
  <c r="G25" i="4"/>
  <c r="I24" i="4"/>
  <c r="G24" i="4"/>
  <c r="I23" i="4"/>
  <c r="G23" i="4"/>
  <c r="I22" i="4"/>
  <c r="G22" i="4"/>
  <c r="I21" i="4"/>
  <c r="G21" i="4"/>
  <c r="I20" i="4"/>
  <c r="G20" i="4"/>
  <c r="I19" i="4"/>
  <c r="G19" i="4"/>
  <c r="I18" i="4"/>
  <c r="J18" i="4" s="1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J11" i="4"/>
  <c r="J46" i="4" s="1"/>
  <c r="I11" i="4"/>
  <c r="G11" i="4"/>
  <c r="S46" i="3"/>
  <c r="P46" i="3"/>
  <c r="M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J32" i="3" s="1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S46" i="2"/>
  <c r="P46" i="2"/>
  <c r="M46" i="2"/>
  <c r="I45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J18" i="2" s="1"/>
  <c r="G18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J46" i="10" l="1"/>
  <c r="J46" i="7"/>
  <c r="J32" i="6"/>
  <c r="J46" i="6"/>
  <c r="G46" i="6"/>
  <c r="J32" i="5"/>
  <c r="J11" i="5"/>
  <c r="G39" i="5"/>
  <c r="J18" i="5"/>
  <c r="J25" i="2"/>
  <c r="J46" i="2" s="1"/>
  <c r="J32" i="2"/>
  <c r="J39" i="2"/>
  <c r="G46" i="2"/>
  <c r="J11" i="2"/>
  <c r="J25" i="3"/>
  <c r="J39" i="3"/>
  <c r="G46" i="3"/>
  <c r="J11" i="3"/>
  <c r="J18" i="3"/>
  <c r="J46" i="3"/>
  <c r="J39" i="5" l="1"/>
  <c r="I52" i="1" l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S53" i="1"/>
  <c r="P53" i="1"/>
  <c r="M53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J46" i="1" l="1"/>
  <c r="J39" i="1"/>
  <c r="J32" i="1"/>
  <c r="J25" i="1"/>
  <c r="J18" i="1"/>
  <c r="J11" i="1"/>
  <c r="G53" i="1"/>
  <c r="J5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<sst xmlns="http://schemas.openxmlformats.org/spreadsheetml/2006/main" count="943" uniqueCount="58">
  <si>
    <t xml:space="preserve">BASIC CONDITIONS OF EMPLOYMENT ACT,1997 </t>
  </si>
  <si>
    <t>ATTENDANCE REGISTER</t>
  </si>
  <si>
    <t>Employees please complete yellow sections only</t>
  </si>
  <si>
    <t>FUTURA SA ADMINISTRATORS (PTY)LTD</t>
  </si>
  <si>
    <t xml:space="preserve">Name of Employee: </t>
  </si>
  <si>
    <t>Entries to be made by employees or if the employee is unable, the employer</t>
  </si>
  <si>
    <t xml:space="preserve">Year </t>
  </si>
  <si>
    <t xml:space="preserve"> Overtime worked</t>
  </si>
  <si>
    <t>Sundays worked</t>
  </si>
  <si>
    <t xml:space="preserve">                 Public holidays Worked</t>
  </si>
  <si>
    <t>Remarks</t>
  </si>
  <si>
    <t>Month</t>
  </si>
  <si>
    <t>FORMULA - DO NOT EDIT</t>
  </si>
  <si>
    <t>column I converted to hours &amp; minutes</t>
  </si>
  <si>
    <r>
      <rPr>
        <b/>
        <u/>
        <sz val="8"/>
        <color rgb="FFFF0000"/>
        <rFont val="Aptos Narrow"/>
        <family val="2"/>
        <scheme val="minor"/>
      </rPr>
      <t>Weekly</t>
    </r>
    <r>
      <rPr>
        <b/>
        <sz val="8"/>
        <color theme="1"/>
        <rFont val="Aptos Narrow"/>
        <family val="2"/>
        <scheme val="minor"/>
      </rPr>
      <t xml:space="preserve"> Total number of hours worked </t>
    </r>
    <r>
      <rPr>
        <b/>
        <sz val="8"/>
        <color rgb="FFFF0000"/>
        <rFont val="Aptos Narrow"/>
        <family val="2"/>
        <scheme val="minor"/>
      </rPr>
      <t>less lunch</t>
    </r>
  </si>
  <si>
    <t>Total</t>
  </si>
  <si>
    <t>From</t>
  </si>
  <si>
    <t xml:space="preserve">    To</t>
  </si>
  <si>
    <t>hours</t>
  </si>
  <si>
    <t xml:space="preserve">     To</t>
  </si>
  <si>
    <t>To</t>
  </si>
  <si>
    <t>Date</t>
  </si>
  <si>
    <t>Week</t>
  </si>
  <si>
    <t>Signature</t>
  </si>
  <si>
    <t>Work Start Time</t>
  </si>
  <si>
    <t>Lunch Start</t>
  </si>
  <si>
    <t>Lunch End</t>
  </si>
  <si>
    <t>Lunch total</t>
  </si>
  <si>
    <t>Work End Time</t>
  </si>
  <si>
    <t>worked</t>
  </si>
  <si>
    <t>Tuesday</t>
  </si>
  <si>
    <t>Wednesday</t>
  </si>
  <si>
    <t>Thursday</t>
  </si>
  <si>
    <t>Friday</t>
  </si>
  <si>
    <t>Saturday</t>
  </si>
  <si>
    <t>Sunday</t>
  </si>
  <si>
    <t>Monday</t>
  </si>
  <si>
    <t>TOTAL NUMBER OF HOURS WORKED</t>
  </si>
  <si>
    <t>NOTE: Overtime will only be paid if approved by management</t>
  </si>
  <si>
    <t>NOTE: Threshold for overtime to be paid is R 261 748.45 per annum ( R 21 812 pm)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</si>
  <si>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</si>
  <si>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</si>
  <si>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</si>
  <si>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</si>
  <si>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</si>
  <si>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</si>
  <si>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</si>
  <si>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</si>
  <si>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</si>
  <si>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</si>
  <si>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</si>
  <si>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</si>
  <si>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SAM002</t>
  </si>
  <si>
    <t>Courtney Sampson</t>
  </si>
  <si>
    <t>Sick Leave</t>
  </si>
  <si>
    <t>Annual Leave</t>
  </si>
  <si>
    <t>Approved</t>
  </si>
  <si>
    <t>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</si>
</sst>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0" x14ac:knownFonts="1">
    <font>
      <sz val="11"/>
      <color theme="1"/>
      <name val="Aptos Narrow"/>
      <family val="2"/>
      <scheme val="minor"/>
    </font>
    <font>
      <b/>
      <i/>
      <u/>
      <sz val="8"/>
      <color theme="1"/>
      <name val="Aptos Narrow"/>
      <family val="2"/>
      <scheme val="minor"/>
    </font>
    <font>
      <sz val="14"/>
      <color rgb="FF1F1F1F"/>
      <name val="Arial"/>
      <family val="2"/>
    </font>
    <font>
      <sz val="8"/>
      <color theme="1"/>
      <name val="Aptos Narrow"/>
      <family val="2"/>
      <scheme val="minor"/>
    </font>
    <font>
      <b/>
      <i/>
      <u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u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8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/>
    </xf>
    <xf numFmtId="0" fontId="5" fillId="4" borderId="0" xfId="0" applyFont="1" applyFill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5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14" fontId="8" fillId="0" borderId="13" xfId="0" applyNumberFormat="1" applyFont="1" applyBorder="1" applyAlignment="1">
      <alignment horizontal="left"/>
    </xf>
    <xf numFmtId="0" fontId="8" fillId="0" borderId="7" xfId="0" applyFont="1" applyBorder="1" applyAlignment="1">
      <alignment horizontal="left"/>
    </xf>
    <xf numFmtId="20" fontId="8" fillId="2" borderId="7" xfId="0" applyNumberFormat="1" applyFont="1" applyFill="1" applyBorder="1" applyAlignment="1">
      <alignment horizontal="center"/>
    </xf>
    <xf numFmtId="20" fontId="8" fillId="4" borderId="7" xfId="0" applyNumberFormat="1" applyFont="1" applyFill="1" applyBorder="1" applyAlignment="1">
      <alignment horizontal="center"/>
    </xf>
    <xf numFmtId="20" fontId="7" fillId="4" borderId="1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20" fontId="8" fillId="2" borderId="1" xfId="0" applyNumberFormat="1" applyFont="1" applyFill="1" applyBorder="1" applyAlignment="1">
      <alignment horizontal="center"/>
    </xf>
    <xf numFmtId="20" fontId="8" fillId="4" borderId="1" xfId="0" applyNumberFormat="1" applyFont="1" applyFill="1" applyBorder="1" applyAlignment="1">
      <alignment horizontal="center"/>
    </xf>
    <xf numFmtId="20" fontId="8" fillId="2" borderId="4" xfId="0" applyNumberFormat="1" applyFont="1" applyFill="1" applyBorder="1" applyAlignment="1">
      <alignment horizontal="center"/>
    </xf>
    <xf numFmtId="20" fontId="7" fillId="4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14" fontId="8" fillId="0" borderId="16" xfId="0" applyNumberFormat="1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20" fontId="8" fillId="2" borderId="17" xfId="0" applyNumberFormat="1" applyFont="1" applyFill="1" applyBorder="1" applyAlignment="1">
      <alignment horizontal="center"/>
    </xf>
    <xf numFmtId="20" fontId="8" fillId="4" borderId="17" xfId="0" applyNumberFormat="1" applyFont="1" applyFill="1" applyBorder="1" applyAlignment="1">
      <alignment horizontal="center"/>
    </xf>
    <xf numFmtId="20" fontId="7" fillId="4" borderId="17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20" fontId="7" fillId="4" borderId="7" xfId="0" applyNumberFormat="1" applyFont="1" applyFill="1" applyBorder="1" applyAlignment="1">
      <alignment horizontal="center" vertical="center"/>
    </xf>
    <xf numFmtId="20" fontId="7" fillId="4" borderId="1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14" fontId="8" fillId="0" borderId="20" xfId="0" applyNumberFormat="1" applyFont="1" applyBorder="1" applyAlignment="1">
      <alignment horizontal="left"/>
    </xf>
    <xf numFmtId="14" fontId="8" fillId="0" borderId="17" xfId="0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20" fontId="7" fillId="0" borderId="13" xfId="0" applyNumberFormat="1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46" fontId="9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left"/>
    </xf>
    <xf numFmtId="2" fontId="7" fillId="0" borderId="13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0" fontId="8" fillId="0" borderId="2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20" fontId="8" fillId="2" borderId="13" xfId="0" applyNumberFormat="1" applyFont="1" applyFill="1" applyBorder="1" applyAlignment="1">
      <alignment horizontal="center"/>
    </xf>
    <xf numFmtId="20" fontId="8" fillId="4" borderId="13" xfId="0" applyNumberFormat="1" applyFont="1" applyFill="1" applyBorder="1" applyAlignment="1">
      <alignment horizontal="center"/>
    </xf>
    <xf numFmtId="20" fontId="7" fillId="4" borderId="1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14" fontId="8" fillId="0" borderId="7" xfId="0" applyNumberFormat="1" applyFont="1" applyBorder="1" applyAlignment="1">
      <alignment horizontal="left"/>
    </xf>
    <xf numFmtId="14" fontId="8" fillId="0" borderId="14" xfId="0" applyNumberFormat="1" applyFont="1" applyBorder="1" applyAlignment="1">
      <alignment horizontal="left"/>
    </xf>
    <xf numFmtId="46" fontId="1" fillId="4" borderId="7" xfId="0" applyNumberFormat="1" applyFont="1" applyFill="1" applyBorder="1" applyAlignment="1">
      <alignment horizontal="center" vertical="center"/>
    </xf>
    <xf numFmtId="46" fontId="1" fillId="4" borderId="1" xfId="0" applyNumberFormat="1" applyFont="1" applyFill="1" applyBorder="1" applyAlignment="1">
      <alignment horizontal="center" vertical="center"/>
    </xf>
    <xf numFmtId="46" fontId="1" fillId="4" borderId="4" xfId="0" applyNumberFormat="1" applyFont="1" applyFill="1" applyBorder="1" applyAlignment="1">
      <alignment horizontal="center" vertical="center"/>
    </xf>
    <xf numFmtId="46" fontId="1" fillId="4" borderId="17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5" fillId="4" borderId="7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6" fontId="1" fillId="4" borderId="14" xfId="0" applyNumberFormat="1" applyFont="1" applyFill="1" applyBorder="1" applyAlignment="1">
      <alignment horizontal="center" vertical="center"/>
    </xf>
    <xf numFmtId="46" fontId="1" fillId="4" borderId="15" xfId="0" applyNumberFormat="1" applyFont="1" applyFill="1" applyBorder="1" applyAlignment="1">
      <alignment horizontal="center" vertical="center"/>
    </xf>
    <xf numFmtId="46" fontId="1" fillId="4" borderId="16" xfId="0" applyNumberFormat="1" applyFont="1" applyFill="1" applyBorder="1" applyAlignment="1">
      <alignment horizontal="center" vertical="center"/>
    </xf>
    <xf numFmtId="46" fontId="1" fillId="4" borderId="1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0</xdr:row>
      <xdr:rowOff>220816</xdr:rowOff>
    </xdr:from>
    <xdr:to>
      <xdr:col>10</xdr:col>
      <xdr:colOff>121920</xdr:colOff>
      <xdr:row>4</xdr:row>
      <xdr:rowOff>114300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446C7276-D528-8CEF-8BF4-1453C8824D9D}"/>
            </a:ext>
          </a:extLst>
        </xdr:cNvPr>
        <xdr:cNvSpPr/>
      </xdr:nvSpPr>
      <xdr:spPr>
        <a:xfrm>
          <a:off x="6134100" y="220816"/>
          <a:ext cx="746760" cy="663104"/>
        </a:xfrm>
        <a:custGeom>
          <a:avLst/>
          <a:gdLst>
            <a:gd name="csX0" fmla="*/ 175260 w 746760"/>
            <a:gd name="csY0" fmla="*/ 350684 h 663104"/>
            <a:gd name="csX1" fmla="*/ 190500 w 746760"/>
            <a:gd name="csY1" fmla="*/ 236384 h 663104"/>
            <a:gd name="csX2" fmla="*/ 205740 w 746760"/>
            <a:gd name="csY2" fmla="*/ 190664 h 663104"/>
            <a:gd name="csX3" fmla="*/ 213360 w 746760"/>
            <a:gd name="csY3" fmla="*/ 106844 h 663104"/>
            <a:gd name="csX4" fmla="*/ 220980 w 746760"/>
            <a:gd name="csY4" fmla="*/ 61124 h 663104"/>
            <a:gd name="csX5" fmla="*/ 190500 w 746760"/>
            <a:gd name="csY5" fmla="*/ 164 h 663104"/>
            <a:gd name="csX6" fmla="*/ 152400 w 746760"/>
            <a:gd name="csY6" fmla="*/ 15404 h 663104"/>
            <a:gd name="csX7" fmla="*/ 152400 w 746760"/>
            <a:gd name="csY7" fmla="*/ 76364 h 663104"/>
            <a:gd name="csX8" fmla="*/ 175260 w 746760"/>
            <a:gd name="csY8" fmla="*/ 99224 h 663104"/>
            <a:gd name="csX9" fmla="*/ 198120 w 746760"/>
            <a:gd name="csY9" fmla="*/ 167804 h 663104"/>
            <a:gd name="csX10" fmla="*/ 213360 w 746760"/>
            <a:gd name="csY10" fmla="*/ 213524 h 663104"/>
            <a:gd name="csX11" fmla="*/ 228600 w 746760"/>
            <a:gd name="csY11" fmla="*/ 236384 h 663104"/>
            <a:gd name="csX12" fmla="*/ 251460 w 746760"/>
            <a:gd name="csY12" fmla="*/ 327824 h 663104"/>
            <a:gd name="csX13" fmla="*/ 259080 w 746760"/>
            <a:gd name="csY13" fmla="*/ 358304 h 663104"/>
            <a:gd name="csX14" fmla="*/ 266700 w 746760"/>
            <a:gd name="csY14" fmla="*/ 404024 h 663104"/>
            <a:gd name="csX15" fmla="*/ 259080 w 746760"/>
            <a:gd name="csY15" fmla="*/ 503084 h 663104"/>
            <a:gd name="csX16" fmla="*/ 251460 w 746760"/>
            <a:gd name="csY16" fmla="*/ 525944 h 663104"/>
            <a:gd name="csX17" fmla="*/ 190500 w 746760"/>
            <a:gd name="csY17" fmla="*/ 510704 h 663104"/>
            <a:gd name="csX18" fmla="*/ 198120 w 746760"/>
            <a:gd name="csY18" fmla="*/ 404024 h 663104"/>
            <a:gd name="csX19" fmla="*/ 220980 w 746760"/>
            <a:gd name="csY19" fmla="*/ 396404 h 663104"/>
            <a:gd name="csX20" fmla="*/ 327660 w 746760"/>
            <a:gd name="csY20" fmla="*/ 419264 h 663104"/>
            <a:gd name="csX21" fmla="*/ 358140 w 746760"/>
            <a:gd name="csY21" fmla="*/ 449744 h 663104"/>
            <a:gd name="csX22" fmla="*/ 388620 w 746760"/>
            <a:gd name="csY22" fmla="*/ 503084 h 663104"/>
            <a:gd name="csX23" fmla="*/ 403860 w 746760"/>
            <a:gd name="csY23" fmla="*/ 480224 h 663104"/>
            <a:gd name="csX24" fmla="*/ 396240 w 746760"/>
            <a:gd name="csY24" fmla="*/ 457364 h 663104"/>
            <a:gd name="csX25" fmla="*/ 381000 w 746760"/>
            <a:gd name="csY25" fmla="*/ 419264 h 663104"/>
            <a:gd name="csX26" fmla="*/ 358140 w 746760"/>
            <a:gd name="csY26" fmla="*/ 381164 h 663104"/>
            <a:gd name="csX27" fmla="*/ 350520 w 746760"/>
            <a:gd name="csY27" fmla="*/ 358304 h 663104"/>
            <a:gd name="csX28" fmla="*/ 365760 w 746760"/>
            <a:gd name="csY28" fmla="*/ 434504 h 663104"/>
            <a:gd name="csX29" fmla="*/ 396240 w 746760"/>
            <a:gd name="csY29" fmla="*/ 472604 h 663104"/>
            <a:gd name="csX30" fmla="*/ 449580 w 746760"/>
            <a:gd name="csY30" fmla="*/ 510704 h 663104"/>
            <a:gd name="csX31" fmla="*/ 464820 w 746760"/>
            <a:gd name="csY31" fmla="*/ 487844 h 663104"/>
            <a:gd name="csX32" fmla="*/ 449580 w 746760"/>
            <a:gd name="csY32" fmla="*/ 457364 h 663104"/>
            <a:gd name="csX33" fmla="*/ 419100 w 746760"/>
            <a:gd name="csY33" fmla="*/ 404024 h 663104"/>
            <a:gd name="csX34" fmla="*/ 411480 w 746760"/>
            <a:gd name="csY34" fmla="*/ 381164 h 663104"/>
            <a:gd name="csX35" fmla="*/ 441960 w 746760"/>
            <a:gd name="csY35" fmla="*/ 404024 h 663104"/>
            <a:gd name="csX36" fmla="*/ 464820 w 746760"/>
            <a:gd name="csY36" fmla="*/ 388784 h 663104"/>
            <a:gd name="csX37" fmla="*/ 480060 w 746760"/>
            <a:gd name="csY37" fmla="*/ 365924 h 663104"/>
            <a:gd name="csX38" fmla="*/ 502920 w 746760"/>
            <a:gd name="csY38" fmla="*/ 335444 h 663104"/>
            <a:gd name="csX39" fmla="*/ 510540 w 746760"/>
            <a:gd name="csY39" fmla="*/ 289724 h 663104"/>
            <a:gd name="csX40" fmla="*/ 525780 w 746760"/>
            <a:gd name="csY40" fmla="*/ 236384 h 663104"/>
            <a:gd name="csX41" fmla="*/ 495300 w 746760"/>
            <a:gd name="csY41" fmla="*/ 83984 h 663104"/>
            <a:gd name="csX42" fmla="*/ 464820 w 746760"/>
            <a:gd name="csY42" fmla="*/ 53504 h 663104"/>
            <a:gd name="csX43" fmla="*/ 426720 w 746760"/>
            <a:gd name="csY43" fmla="*/ 45884 h 663104"/>
            <a:gd name="csX44" fmla="*/ 419100 w 746760"/>
            <a:gd name="csY44" fmla="*/ 68744 h 663104"/>
            <a:gd name="csX45" fmla="*/ 441960 w 746760"/>
            <a:gd name="csY45" fmla="*/ 83984 h 663104"/>
            <a:gd name="csX46" fmla="*/ 457200 w 746760"/>
            <a:gd name="csY46" fmla="*/ 106844 h 663104"/>
            <a:gd name="csX47" fmla="*/ 563880 w 746760"/>
            <a:gd name="csY47" fmla="*/ 221144 h 663104"/>
            <a:gd name="csX48" fmla="*/ 579120 w 746760"/>
            <a:gd name="csY48" fmla="*/ 251624 h 663104"/>
            <a:gd name="csX49" fmla="*/ 609600 w 746760"/>
            <a:gd name="csY49" fmla="*/ 304964 h 663104"/>
            <a:gd name="csX50" fmla="*/ 601980 w 746760"/>
            <a:gd name="csY50" fmla="*/ 381164 h 663104"/>
            <a:gd name="csX51" fmla="*/ 403860 w 746760"/>
            <a:gd name="csY51" fmla="*/ 343064 h 663104"/>
            <a:gd name="csX52" fmla="*/ 434340 w 746760"/>
            <a:gd name="csY52" fmla="*/ 251624 h 663104"/>
            <a:gd name="csX53" fmla="*/ 472440 w 746760"/>
            <a:gd name="csY53" fmla="*/ 259244 h 663104"/>
            <a:gd name="csX54" fmla="*/ 579120 w 746760"/>
            <a:gd name="csY54" fmla="*/ 404024 h 663104"/>
            <a:gd name="csX55" fmla="*/ 548640 w 746760"/>
            <a:gd name="csY55" fmla="*/ 518324 h 663104"/>
            <a:gd name="csX56" fmla="*/ 388620 w 746760"/>
            <a:gd name="csY56" fmla="*/ 655484 h 663104"/>
            <a:gd name="csX57" fmla="*/ 281940 w 746760"/>
            <a:gd name="csY57" fmla="*/ 663104 h 663104"/>
            <a:gd name="csX58" fmla="*/ 30480 w 746760"/>
            <a:gd name="csY58" fmla="*/ 594524 h 663104"/>
            <a:gd name="csX59" fmla="*/ 0 w 746760"/>
            <a:gd name="csY59" fmla="*/ 571664 h 663104"/>
            <a:gd name="csX60" fmla="*/ 320040 w 746760"/>
            <a:gd name="csY60" fmla="*/ 388784 h 663104"/>
            <a:gd name="csX61" fmla="*/ 457200 w 746760"/>
            <a:gd name="csY61" fmla="*/ 350684 h 663104"/>
            <a:gd name="csX62" fmla="*/ 662940 w 746760"/>
            <a:gd name="csY62" fmla="*/ 274484 h 663104"/>
            <a:gd name="csX63" fmla="*/ 716280 w 746760"/>
            <a:gd name="csY63" fmla="*/ 259244 h 663104"/>
            <a:gd name="csX64" fmla="*/ 746760 w 746760"/>
            <a:gd name="csY64" fmla="*/ 251624 h 6631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</a:cxnLst>
          <a:rect l="l" t="t" r="r" b="b"/>
          <a:pathLst>
            <a:path w="746760" h="663104">
              <a:moveTo>
                <a:pt x="175260" y="350684"/>
              </a:moveTo>
              <a:cubicBezTo>
                <a:pt x="180340" y="312584"/>
                <a:pt x="183308" y="274142"/>
                <a:pt x="190500" y="236384"/>
              </a:cubicBezTo>
              <a:cubicBezTo>
                <a:pt x="193506" y="220603"/>
                <a:pt x="202948" y="206484"/>
                <a:pt x="205740" y="190664"/>
              </a:cubicBezTo>
              <a:cubicBezTo>
                <a:pt x="210616" y="163036"/>
                <a:pt x="210082" y="134707"/>
                <a:pt x="213360" y="106844"/>
              </a:cubicBezTo>
              <a:cubicBezTo>
                <a:pt x="215165" y="91500"/>
                <a:pt x="218440" y="76364"/>
                <a:pt x="220980" y="61124"/>
              </a:cubicBezTo>
              <a:cubicBezTo>
                <a:pt x="218153" y="46991"/>
                <a:pt x="216771" y="3448"/>
                <a:pt x="190500" y="164"/>
              </a:cubicBezTo>
              <a:cubicBezTo>
                <a:pt x="176927" y="-1533"/>
                <a:pt x="165100" y="10324"/>
                <a:pt x="152400" y="15404"/>
              </a:cubicBezTo>
              <a:cubicBezTo>
                <a:pt x="147564" y="39583"/>
                <a:pt x="137981" y="54735"/>
                <a:pt x="152400" y="76364"/>
              </a:cubicBezTo>
              <a:cubicBezTo>
                <a:pt x="158378" y="85330"/>
                <a:pt x="167640" y="91604"/>
                <a:pt x="175260" y="99224"/>
              </a:cubicBezTo>
              <a:lnTo>
                <a:pt x="198120" y="167804"/>
              </a:lnTo>
              <a:cubicBezTo>
                <a:pt x="203200" y="183044"/>
                <a:pt x="204449" y="200158"/>
                <a:pt x="213360" y="213524"/>
              </a:cubicBezTo>
              <a:lnTo>
                <a:pt x="228600" y="236384"/>
              </a:lnTo>
              <a:lnTo>
                <a:pt x="251460" y="327824"/>
              </a:lnTo>
              <a:cubicBezTo>
                <a:pt x="254000" y="337984"/>
                <a:pt x="257358" y="347974"/>
                <a:pt x="259080" y="358304"/>
              </a:cubicBezTo>
              <a:lnTo>
                <a:pt x="266700" y="404024"/>
              </a:lnTo>
              <a:cubicBezTo>
                <a:pt x="264160" y="437044"/>
                <a:pt x="263188" y="470222"/>
                <a:pt x="259080" y="503084"/>
              </a:cubicBezTo>
              <a:cubicBezTo>
                <a:pt x="258084" y="511054"/>
                <a:pt x="259443" y="525057"/>
                <a:pt x="251460" y="525944"/>
              </a:cubicBezTo>
              <a:cubicBezTo>
                <a:pt x="230643" y="528257"/>
                <a:pt x="210820" y="515784"/>
                <a:pt x="190500" y="510704"/>
              </a:cubicBezTo>
              <a:cubicBezTo>
                <a:pt x="179755" y="467725"/>
                <a:pt x="173016" y="459253"/>
                <a:pt x="198120" y="404024"/>
              </a:cubicBezTo>
              <a:cubicBezTo>
                <a:pt x="201444" y="396712"/>
                <a:pt x="213360" y="398944"/>
                <a:pt x="220980" y="396404"/>
              </a:cubicBezTo>
              <a:cubicBezTo>
                <a:pt x="251258" y="400189"/>
                <a:pt x="299087" y="402120"/>
                <a:pt x="327660" y="419264"/>
              </a:cubicBezTo>
              <a:cubicBezTo>
                <a:pt x="339981" y="426656"/>
                <a:pt x="348789" y="438835"/>
                <a:pt x="358140" y="449744"/>
              </a:cubicBezTo>
              <a:cubicBezTo>
                <a:pt x="371065" y="464823"/>
                <a:pt x="379972" y="485787"/>
                <a:pt x="388620" y="503084"/>
              </a:cubicBezTo>
              <a:cubicBezTo>
                <a:pt x="393700" y="495464"/>
                <a:pt x="402354" y="489257"/>
                <a:pt x="403860" y="480224"/>
              </a:cubicBezTo>
              <a:cubicBezTo>
                <a:pt x="405180" y="472301"/>
                <a:pt x="399060" y="464885"/>
                <a:pt x="396240" y="457364"/>
              </a:cubicBezTo>
              <a:cubicBezTo>
                <a:pt x="391437" y="444557"/>
                <a:pt x="387117" y="431498"/>
                <a:pt x="381000" y="419264"/>
              </a:cubicBezTo>
              <a:cubicBezTo>
                <a:pt x="374376" y="406017"/>
                <a:pt x="364764" y="394411"/>
                <a:pt x="358140" y="381164"/>
              </a:cubicBezTo>
              <a:cubicBezTo>
                <a:pt x="354548" y="373980"/>
                <a:pt x="349384" y="350353"/>
                <a:pt x="350520" y="358304"/>
              </a:cubicBezTo>
              <a:cubicBezTo>
                <a:pt x="354183" y="383947"/>
                <a:pt x="349579" y="414277"/>
                <a:pt x="365760" y="434504"/>
              </a:cubicBezTo>
              <a:cubicBezTo>
                <a:pt x="375920" y="447204"/>
                <a:pt x="384740" y="461104"/>
                <a:pt x="396240" y="472604"/>
              </a:cubicBezTo>
              <a:cubicBezTo>
                <a:pt x="405692" y="482056"/>
                <a:pt x="436600" y="502051"/>
                <a:pt x="449580" y="510704"/>
              </a:cubicBezTo>
              <a:cubicBezTo>
                <a:pt x="454660" y="503084"/>
                <a:pt x="464820" y="497002"/>
                <a:pt x="464820" y="487844"/>
              </a:cubicBezTo>
              <a:cubicBezTo>
                <a:pt x="464820" y="476485"/>
                <a:pt x="455019" y="467336"/>
                <a:pt x="449580" y="457364"/>
              </a:cubicBezTo>
              <a:cubicBezTo>
                <a:pt x="439774" y="439386"/>
                <a:pt x="428258" y="422340"/>
                <a:pt x="419100" y="404024"/>
              </a:cubicBezTo>
              <a:cubicBezTo>
                <a:pt x="415508" y="396840"/>
                <a:pt x="403448" y="381164"/>
                <a:pt x="411480" y="381164"/>
              </a:cubicBezTo>
              <a:cubicBezTo>
                <a:pt x="424180" y="381164"/>
                <a:pt x="431800" y="396404"/>
                <a:pt x="441960" y="404024"/>
              </a:cubicBezTo>
              <a:cubicBezTo>
                <a:pt x="449580" y="398944"/>
                <a:pt x="458344" y="395260"/>
                <a:pt x="464820" y="388784"/>
              </a:cubicBezTo>
              <a:cubicBezTo>
                <a:pt x="471296" y="382308"/>
                <a:pt x="474737" y="373376"/>
                <a:pt x="480060" y="365924"/>
              </a:cubicBezTo>
              <a:cubicBezTo>
                <a:pt x="487442" y="355590"/>
                <a:pt x="495300" y="345604"/>
                <a:pt x="502920" y="335444"/>
              </a:cubicBezTo>
              <a:cubicBezTo>
                <a:pt x="505460" y="320204"/>
                <a:pt x="507066" y="304779"/>
                <a:pt x="510540" y="289724"/>
              </a:cubicBezTo>
              <a:cubicBezTo>
                <a:pt x="514698" y="271706"/>
                <a:pt x="525780" y="254875"/>
                <a:pt x="525780" y="236384"/>
              </a:cubicBezTo>
              <a:cubicBezTo>
                <a:pt x="525780" y="179059"/>
                <a:pt x="531222" y="125893"/>
                <a:pt x="495300" y="83984"/>
              </a:cubicBezTo>
              <a:cubicBezTo>
                <a:pt x="485949" y="73075"/>
                <a:pt x="477380" y="60482"/>
                <a:pt x="464820" y="53504"/>
              </a:cubicBezTo>
              <a:cubicBezTo>
                <a:pt x="453498" y="47214"/>
                <a:pt x="439420" y="48424"/>
                <a:pt x="426720" y="45884"/>
              </a:cubicBezTo>
              <a:cubicBezTo>
                <a:pt x="424180" y="53504"/>
                <a:pt x="416117" y="61286"/>
                <a:pt x="419100" y="68744"/>
              </a:cubicBezTo>
              <a:cubicBezTo>
                <a:pt x="422501" y="77247"/>
                <a:pt x="435484" y="77508"/>
                <a:pt x="441960" y="83984"/>
              </a:cubicBezTo>
              <a:cubicBezTo>
                <a:pt x="448436" y="90460"/>
                <a:pt x="451542" y="99643"/>
                <a:pt x="457200" y="106844"/>
              </a:cubicBezTo>
              <a:cubicBezTo>
                <a:pt x="527652" y="196510"/>
                <a:pt x="501387" y="171150"/>
                <a:pt x="563880" y="221144"/>
              </a:cubicBezTo>
              <a:cubicBezTo>
                <a:pt x="568960" y="231304"/>
                <a:pt x="573100" y="241991"/>
                <a:pt x="579120" y="251624"/>
              </a:cubicBezTo>
              <a:cubicBezTo>
                <a:pt x="612072" y="304346"/>
                <a:pt x="594629" y="260052"/>
                <a:pt x="609600" y="304964"/>
              </a:cubicBezTo>
              <a:cubicBezTo>
                <a:pt x="607060" y="330364"/>
                <a:pt x="626102" y="372814"/>
                <a:pt x="601980" y="381164"/>
              </a:cubicBezTo>
              <a:cubicBezTo>
                <a:pt x="418871" y="444548"/>
                <a:pt x="423951" y="423427"/>
                <a:pt x="403860" y="343064"/>
              </a:cubicBezTo>
              <a:cubicBezTo>
                <a:pt x="405649" y="325176"/>
                <a:pt x="392659" y="256834"/>
                <a:pt x="434340" y="251624"/>
              </a:cubicBezTo>
              <a:cubicBezTo>
                <a:pt x="447191" y="250018"/>
                <a:pt x="459740" y="256704"/>
                <a:pt x="472440" y="259244"/>
              </a:cubicBezTo>
              <a:cubicBezTo>
                <a:pt x="516017" y="297979"/>
                <a:pt x="576470" y="335121"/>
                <a:pt x="579120" y="404024"/>
              </a:cubicBezTo>
              <a:cubicBezTo>
                <a:pt x="580635" y="443426"/>
                <a:pt x="565746" y="482796"/>
                <a:pt x="548640" y="518324"/>
              </a:cubicBezTo>
              <a:cubicBezTo>
                <a:pt x="514149" y="589959"/>
                <a:pt x="465359" y="634823"/>
                <a:pt x="388620" y="655484"/>
              </a:cubicBezTo>
              <a:cubicBezTo>
                <a:pt x="354195" y="664752"/>
                <a:pt x="317500" y="660564"/>
                <a:pt x="281940" y="663104"/>
              </a:cubicBezTo>
              <a:cubicBezTo>
                <a:pt x="142829" y="635282"/>
                <a:pt x="123517" y="648796"/>
                <a:pt x="30480" y="594524"/>
              </a:cubicBezTo>
              <a:cubicBezTo>
                <a:pt x="19510" y="588125"/>
                <a:pt x="10160" y="579284"/>
                <a:pt x="0" y="571664"/>
              </a:cubicBezTo>
              <a:cubicBezTo>
                <a:pt x="104153" y="480530"/>
                <a:pt x="142198" y="438185"/>
                <a:pt x="320040" y="388784"/>
              </a:cubicBezTo>
              <a:cubicBezTo>
                <a:pt x="365760" y="376084"/>
                <a:pt x="411932" y="364911"/>
                <a:pt x="457200" y="350684"/>
              </a:cubicBezTo>
              <a:cubicBezTo>
                <a:pt x="699108" y="274656"/>
                <a:pt x="492505" y="334638"/>
                <a:pt x="662940" y="274484"/>
              </a:cubicBezTo>
              <a:cubicBezTo>
                <a:pt x="680377" y="268330"/>
                <a:pt x="698440" y="264109"/>
                <a:pt x="716280" y="259244"/>
              </a:cubicBezTo>
              <a:cubicBezTo>
                <a:pt x="726384" y="256488"/>
                <a:pt x="746760" y="251624"/>
                <a:pt x="746760" y="251624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46AB-9CD0-4777-A420-E31843BE314A}">
  <dimension ref="A1:T57"/>
  <sheetViews>
    <sheetView tabSelected="1" workbookViewId="0">
      <selection activeCell="M3" sqref="M3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 t="s">
        <v>53</v>
      </c>
      <c r="D4" s="107"/>
      <c r="E4" s="7"/>
      <c r="F4" s="8" t="s">
        <v>52</v>
      </c>
      <c r="G4" s="7"/>
      <c r="H4" s="9"/>
      <c r="I4" s="111" t="s">
        <v>56</v>
      </c>
      <c r="J4" s="112" t="s">
        <v>57</v>
      </c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40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0.33333333333333331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/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/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/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66">
        <v>46010</v>
      </c>
      <c r="B15" s="44" t="s">
        <v>33</v>
      </c>
      <c r="C15" s="44" t="e" vm="1">
        <v>#VALUE!</v>
      </c>
      <c r="D15" s="45">
        <v>0.33333333333333331</v>
      </c>
      <c r="E15" s="45">
        <v>0.54166666666666663</v>
      </c>
      <c r="F15" s="45">
        <v>0.5625</v>
      </c>
      <c r="G15" s="46">
        <f t="shared" si="0"/>
        <v>2.083333333333337E-2</v>
      </c>
      <c r="H15" s="45">
        <v>0.6875</v>
      </c>
      <c r="I15" s="48">
        <f t="shared" si="1"/>
        <v>0.33333333333333331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51">
        <v>46011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54">
        <v>46012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86">
        <v>46013</v>
      </c>
      <c r="B18" s="65" t="s">
        <v>36</v>
      </c>
      <c r="C18" s="44" t="e" vm="1">
        <v>#VALUE!</v>
      </c>
      <c r="D18" s="45">
        <v>0.33333333333333331</v>
      </c>
      <c r="E18" s="45">
        <v>0.54166666666666663</v>
      </c>
      <c r="F18" s="45">
        <v>0.5625</v>
      </c>
      <c r="G18" s="41">
        <f t="shared" si="0"/>
        <v>2.083333333333337E-2</v>
      </c>
      <c r="H18" s="45">
        <v>0.66666666666666663</v>
      </c>
      <c r="I18" s="42">
        <f t="shared" si="1"/>
        <v>0.31249999999999994</v>
      </c>
      <c r="J18" s="101">
        <f>SUM(I18:I24)</f>
        <v>0.31249999999999994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46014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 t="s">
        <v>55</v>
      </c>
    </row>
    <row r="20" spans="1:20" x14ac:dyDescent="0.3">
      <c r="A20" s="38">
        <v>46015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 t="s">
        <v>55</v>
      </c>
    </row>
    <row r="21" spans="1:20" x14ac:dyDescent="0.3">
      <c r="A21" s="38">
        <v>46016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46017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46018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54">
        <v>46019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86">
        <v>46020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46021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46022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46023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46024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46025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54">
        <v>46026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86">
        <v>46027</v>
      </c>
      <c r="B32" s="78" t="s">
        <v>36</v>
      </c>
      <c r="C32" s="44" t="e" vm="1">
        <v>#VALUE!</v>
      </c>
      <c r="D32" s="80">
        <v>0.33333333333333331</v>
      </c>
      <c r="E32" s="80">
        <v>0.54166666666666663</v>
      </c>
      <c r="F32" s="80">
        <v>0.5625</v>
      </c>
      <c r="G32" s="81">
        <f t="shared" si="0"/>
        <v>2.083333333333337E-2</v>
      </c>
      <c r="H32" s="80">
        <v>0.6875</v>
      </c>
      <c r="I32" s="82">
        <f t="shared" si="1"/>
        <v>0.33333333333333331</v>
      </c>
      <c r="J32" s="104">
        <f>SUM(I32:I38)</f>
        <v>1.3333333333333333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46028</v>
      </c>
      <c r="B33" s="44" t="s">
        <v>30</v>
      </c>
      <c r="C33" s="44" t="e" vm="1">
        <v>#VALUE!</v>
      </c>
      <c r="D33" s="80">
        <v>0.33333333333333331</v>
      </c>
      <c r="E33" s="80">
        <v>0.54166666666666663</v>
      </c>
      <c r="F33" s="80">
        <v>0.5625</v>
      </c>
      <c r="G33" s="46">
        <f t="shared" si="0"/>
        <v>2.083333333333337E-2</v>
      </c>
      <c r="H33" s="80">
        <v>0.6875</v>
      </c>
      <c r="I33" s="63">
        <f t="shared" si="1"/>
        <v>0.33333333333333331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46029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46030</v>
      </c>
      <c r="B35" s="44" t="s">
        <v>32</v>
      </c>
      <c r="C35" s="44" t="e" vm="1">
        <v>#VALUE!</v>
      </c>
      <c r="D35" s="80">
        <v>0.33333333333333331</v>
      </c>
      <c r="E35" s="80">
        <v>0.54166666666666663</v>
      </c>
      <c r="F35" s="80">
        <v>0.5625</v>
      </c>
      <c r="G35" s="46">
        <f t="shared" si="0"/>
        <v>2.083333333333337E-2</v>
      </c>
      <c r="H35" s="80">
        <v>0.6875</v>
      </c>
      <c r="I35" s="63">
        <f t="shared" si="1"/>
        <v>0.33333333333333331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46031</v>
      </c>
      <c r="B36" s="44" t="s">
        <v>33</v>
      </c>
      <c r="C36" s="44" t="e" vm="1">
        <v>#VALUE!</v>
      </c>
      <c r="D36" s="80">
        <v>0.33333333333333331</v>
      </c>
      <c r="E36" s="80">
        <v>0.54166666666666663</v>
      </c>
      <c r="F36" s="80">
        <v>0.5625</v>
      </c>
      <c r="G36" s="46">
        <f t="shared" si="0"/>
        <v>2.083333333333337E-2</v>
      </c>
      <c r="H36" s="80">
        <v>0.6875</v>
      </c>
      <c r="I36" s="63">
        <f t="shared" si="1"/>
        <v>0.33333333333333331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46032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54">
        <v>46033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86">
        <v>46034</v>
      </c>
      <c r="B39" s="65" t="s">
        <v>36</v>
      </c>
      <c r="C39" s="44" t="e" vm="1">
        <v>#VALUE!</v>
      </c>
      <c r="D39" s="80">
        <v>0.33333333333333331</v>
      </c>
      <c r="E39" s="80">
        <v>0.54166666666666663</v>
      </c>
      <c r="F39" s="80">
        <v>0.5625</v>
      </c>
      <c r="G39" s="41">
        <f t="shared" si="0"/>
        <v>2.083333333333337E-2</v>
      </c>
      <c r="H39" s="80">
        <v>0.6875</v>
      </c>
      <c r="I39" s="62">
        <f t="shared" si="1"/>
        <v>0.33333333333333331</v>
      </c>
      <c r="J39" s="88">
        <f>SUM(I39:I45)</f>
        <v>1.3333333333333333</v>
      </c>
      <c r="K39" s="24"/>
      <c r="L39" s="24"/>
      <c r="M39" s="24"/>
      <c r="N39" s="24"/>
      <c r="O39" s="24"/>
      <c r="P39" s="24"/>
      <c r="Q39" s="24"/>
      <c r="R39" s="24"/>
      <c r="S39" s="24"/>
      <c r="T39" s="43"/>
    </row>
    <row r="40" spans="1:20" x14ac:dyDescent="0.3">
      <c r="A40" s="38">
        <v>46035</v>
      </c>
      <c r="B40" s="44" t="s">
        <v>30</v>
      </c>
      <c r="C40" s="44" t="e" vm="1">
        <v>#VALUE!</v>
      </c>
      <c r="D40" s="80">
        <v>0.33333333333333331</v>
      </c>
      <c r="E40" s="80">
        <v>0.54166666666666663</v>
      </c>
      <c r="F40" s="80">
        <v>0.5625</v>
      </c>
      <c r="G40" s="46">
        <f t="shared" si="0"/>
        <v>2.083333333333337E-2</v>
      </c>
      <c r="H40" s="80">
        <v>0.6875</v>
      </c>
      <c r="I40" s="63">
        <f t="shared" si="1"/>
        <v>0.33333333333333331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>
        <v>46036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 t="s">
        <v>54</v>
      </c>
    </row>
    <row r="42" spans="1:20" x14ac:dyDescent="0.3">
      <c r="A42" s="38">
        <v>46037</v>
      </c>
      <c r="B42" s="44" t="s">
        <v>32</v>
      </c>
      <c r="C42" s="44" t="e" vm="1">
        <v>#VALUE!</v>
      </c>
      <c r="D42" s="80">
        <v>0.33333333333333331</v>
      </c>
      <c r="E42" s="80">
        <v>0.54166666666666663</v>
      </c>
      <c r="F42" s="80">
        <v>0.5625</v>
      </c>
      <c r="G42" s="46">
        <f t="shared" si="0"/>
        <v>2.083333333333337E-2</v>
      </c>
      <c r="H42" s="80">
        <v>0.6875</v>
      </c>
      <c r="I42" s="63">
        <f t="shared" si="1"/>
        <v>0.33333333333333331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>
        <v>46038</v>
      </c>
      <c r="B43" s="44" t="s">
        <v>33</v>
      </c>
      <c r="C43" s="44" t="e" vm="1">
        <v>#VALUE!</v>
      </c>
      <c r="D43" s="80">
        <v>0.33333333333333331</v>
      </c>
      <c r="E43" s="80">
        <v>0.54166666666666663</v>
      </c>
      <c r="F43" s="80">
        <v>0.5625</v>
      </c>
      <c r="G43" s="46">
        <f t="shared" si="0"/>
        <v>2.083333333333337E-2</v>
      </c>
      <c r="H43" s="80">
        <v>0.6875</v>
      </c>
      <c r="I43" s="63">
        <f t="shared" si="1"/>
        <v>0.33333333333333331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0"/>
    </row>
    <row r="44" spans="1:20" x14ac:dyDescent="0.3">
      <c r="A44" s="38">
        <v>46039</v>
      </c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0"/>
    </row>
    <row r="45" spans="1:20" ht="15" thickBot="1" x14ac:dyDescent="0.35">
      <c r="A45" s="54">
        <v>46040</v>
      </c>
      <c r="B45" s="44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50"/>
    </row>
    <row r="46" spans="1:20" x14ac:dyDescent="0.3">
      <c r="A46" s="86">
        <v>46041</v>
      </c>
      <c r="B46" s="65" t="s">
        <v>36</v>
      </c>
      <c r="C46" s="44" t="e" vm="1">
        <v>#VALUE!</v>
      </c>
      <c r="D46" s="80">
        <v>0.33333333333333331</v>
      </c>
      <c r="E46" s="80">
        <v>0.54166666666666663</v>
      </c>
      <c r="F46" s="80">
        <v>0.5625</v>
      </c>
      <c r="G46" s="41">
        <f t="shared" ref="G46:G52" si="2">SUM(F46-E46)</f>
        <v>2.083333333333337E-2</v>
      </c>
      <c r="H46" s="80">
        <v>0.6875</v>
      </c>
      <c r="I46" s="62">
        <f t="shared" ref="I46:I52" si="3">((H46-D46)-(F46-E46))</f>
        <v>0.33333333333333331</v>
      </c>
      <c r="J46" s="88">
        <f>SUM(I46:I52)</f>
        <v>1.6666666666666665</v>
      </c>
      <c r="K46" s="24"/>
      <c r="L46" s="24"/>
      <c r="M46" s="24"/>
      <c r="N46" s="24"/>
      <c r="O46" s="24"/>
      <c r="P46" s="24"/>
      <c r="Q46" s="24"/>
      <c r="R46" s="24"/>
      <c r="S46" s="24"/>
      <c r="T46" s="43"/>
    </row>
    <row r="47" spans="1:20" x14ac:dyDescent="0.3">
      <c r="A47" s="38">
        <v>46042</v>
      </c>
      <c r="B47" s="44" t="s">
        <v>30</v>
      </c>
      <c r="C47" s="44" t="e" vm="1">
        <v>#VALUE!</v>
      </c>
      <c r="D47" s="80">
        <v>0.33333333333333331</v>
      </c>
      <c r="E47" s="80">
        <v>0.54166666666666663</v>
      </c>
      <c r="F47" s="80">
        <v>0.5625</v>
      </c>
      <c r="G47" s="46">
        <f t="shared" si="2"/>
        <v>2.083333333333337E-2</v>
      </c>
      <c r="H47" s="80">
        <v>0.6875</v>
      </c>
      <c r="I47" s="63">
        <f t="shared" si="3"/>
        <v>0.33333333333333331</v>
      </c>
      <c r="J47" s="89"/>
      <c r="K47" s="49"/>
      <c r="L47" s="49"/>
      <c r="M47" s="49"/>
      <c r="N47" s="49"/>
      <c r="O47" s="49"/>
      <c r="P47" s="49"/>
      <c r="Q47" s="49"/>
      <c r="R47" s="49"/>
      <c r="S47" s="49"/>
      <c r="T47" s="50"/>
    </row>
    <row r="48" spans="1:20" x14ac:dyDescent="0.3">
      <c r="A48" s="38">
        <v>46043</v>
      </c>
      <c r="B48" s="44" t="s">
        <v>31</v>
      </c>
      <c r="C48" s="44" t="e" vm="1">
        <v>#VALUE!</v>
      </c>
      <c r="D48" s="80">
        <v>0.33333333333333331</v>
      </c>
      <c r="E48" s="80">
        <v>0.54166666666666663</v>
      </c>
      <c r="F48" s="80">
        <v>0.5625</v>
      </c>
      <c r="G48" s="46">
        <f t="shared" si="2"/>
        <v>2.083333333333337E-2</v>
      </c>
      <c r="H48" s="80">
        <v>0.6875</v>
      </c>
      <c r="I48" s="63">
        <f t="shared" si="3"/>
        <v>0.33333333333333331</v>
      </c>
      <c r="J48" s="89"/>
      <c r="K48" s="49"/>
      <c r="L48" s="49"/>
      <c r="M48" s="49"/>
      <c r="N48" s="49"/>
      <c r="O48" s="49"/>
      <c r="P48" s="49"/>
      <c r="Q48" s="49"/>
      <c r="R48" s="49"/>
      <c r="S48" s="49"/>
      <c r="T48" s="50"/>
    </row>
    <row r="49" spans="1:20" x14ac:dyDescent="0.3">
      <c r="A49" s="38">
        <v>46044</v>
      </c>
      <c r="B49" s="44" t="s">
        <v>32</v>
      </c>
      <c r="C49" s="44" t="e" vm="1">
        <v>#VALUE!</v>
      </c>
      <c r="D49" s="80">
        <v>0.33333333333333331</v>
      </c>
      <c r="E49" s="80">
        <v>0.54166666666666663</v>
      </c>
      <c r="F49" s="80">
        <v>0.5625</v>
      </c>
      <c r="G49" s="46">
        <f t="shared" si="2"/>
        <v>2.083333333333337E-2</v>
      </c>
      <c r="H49" s="80">
        <v>0.6875</v>
      </c>
      <c r="I49" s="63">
        <f t="shared" si="3"/>
        <v>0.33333333333333331</v>
      </c>
      <c r="J49" s="89"/>
      <c r="K49" s="49"/>
      <c r="L49" s="49"/>
      <c r="M49" s="49"/>
      <c r="N49" s="49"/>
      <c r="O49" s="49"/>
      <c r="P49" s="49"/>
      <c r="Q49" s="49"/>
      <c r="R49" s="49"/>
      <c r="S49" s="49"/>
      <c r="T49" s="50"/>
    </row>
    <row r="50" spans="1:20" x14ac:dyDescent="0.3">
      <c r="A50" s="38">
        <v>46045</v>
      </c>
      <c r="B50" s="44" t="s">
        <v>33</v>
      </c>
      <c r="C50" s="44" t="e" vm="1">
        <v>#VALUE!</v>
      </c>
      <c r="D50" s="80">
        <v>0.33333333333333331</v>
      </c>
      <c r="E50" s="80">
        <v>0.54166666666666663</v>
      </c>
      <c r="F50" s="80">
        <v>0.5625</v>
      </c>
      <c r="G50" s="46">
        <f t="shared" si="2"/>
        <v>2.083333333333337E-2</v>
      </c>
      <c r="H50" s="80">
        <v>0.6875</v>
      </c>
      <c r="I50" s="63">
        <f t="shared" si="3"/>
        <v>0.33333333333333331</v>
      </c>
      <c r="J50" s="90"/>
      <c r="K50" s="16"/>
      <c r="L50" s="16"/>
      <c r="M50" s="16"/>
      <c r="N50" s="16"/>
      <c r="O50" s="16"/>
      <c r="P50" s="16"/>
      <c r="Q50" s="16"/>
      <c r="R50" s="16"/>
      <c r="S50" s="16"/>
      <c r="T50" s="50"/>
    </row>
    <row r="51" spans="1:20" x14ac:dyDescent="0.3">
      <c r="A51" s="38">
        <v>46046</v>
      </c>
      <c r="B51" s="44" t="s">
        <v>34</v>
      </c>
      <c r="C51" s="52"/>
      <c r="D51" s="47"/>
      <c r="E51" s="47"/>
      <c r="F51" s="47"/>
      <c r="G51" s="46">
        <f t="shared" si="2"/>
        <v>0</v>
      </c>
      <c r="H51" s="47"/>
      <c r="I51" s="63">
        <f t="shared" si="3"/>
        <v>0</v>
      </c>
      <c r="J51" s="90"/>
      <c r="K51" s="16"/>
      <c r="L51" s="16"/>
      <c r="M51" s="16"/>
      <c r="N51" s="16"/>
      <c r="O51" s="16"/>
      <c r="P51" s="16"/>
      <c r="Q51" s="16"/>
      <c r="R51" s="16"/>
      <c r="S51" s="16"/>
      <c r="T51" s="50"/>
    </row>
    <row r="52" spans="1:20" ht="15" thickBot="1" x14ac:dyDescent="0.35">
      <c r="A52" s="54">
        <v>46047</v>
      </c>
      <c r="B52" s="56" t="s">
        <v>35</v>
      </c>
      <c r="C52" s="56"/>
      <c r="D52" s="57"/>
      <c r="E52" s="57"/>
      <c r="F52" s="57"/>
      <c r="G52" s="58">
        <f t="shared" si="2"/>
        <v>0</v>
      </c>
      <c r="H52" s="57"/>
      <c r="I52" s="59">
        <f t="shared" si="3"/>
        <v>0</v>
      </c>
      <c r="J52" s="91"/>
      <c r="K52" s="60"/>
      <c r="L52" s="60"/>
      <c r="M52" s="60"/>
      <c r="N52" s="60"/>
      <c r="O52" s="60"/>
      <c r="P52" s="60"/>
      <c r="Q52" s="60"/>
      <c r="R52" s="60"/>
      <c r="S52" s="60"/>
      <c r="T52" s="50"/>
    </row>
    <row r="53" spans="1:20" x14ac:dyDescent="0.3">
      <c r="A53" s="92" t="s">
        <v>37</v>
      </c>
      <c r="B53" s="93"/>
      <c r="C53" s="93"/>
      <c r="D53" s="94"/>
      <c r="E53" s="68"/>
      <c r="F53" s="68"/>
      <c r="G53" s="69">
        <f>SUM(G11:G45)</f>
        <v>0.2083333333333337</v>
      </c>
      <c r="H53" s="70"/>
      <c r="I53" s="71"/>
      <c r="J53" s="72">
        <f>SUM(J11:J52)</f>
        <v>4.9791666666666661</v>
      </c>
      <c r="K53" s="73"/>
      <c r="L53" s="73"/>
      <c r="M53" s="74">
        <f>SUM(M25:M39)</f>
        <v>0</v>
      </c>
      <c r="N53" s="73"/>
      <c r="O53" s="73"/>
      <c r="P53" s="74">
        <f>SUM(P25:P39)</f>
        <v>0</v>
      </c>
      <c r="Q53" s="73"/>
      <c r="R53" s="73"/>
      <c r="S53" s="74">
        <f>SUM(S25:S39)</f>
        <v>0</v>
      </c>
      <c r="T53" s="73"/>
    </row>
    <row r="54" spans="1:20" x14ac:dyDescent="0.3">
      <c r="A54" s="4"/>
      <c r="B54" s="4"/>
      <c r="C54" s="4"/>
      <c r="D54" s="75"/>
      <c r="E54" s="9"/>
      <c r="F54" s="9"/>
      <c r="G54" s="9"/>
      <c r="H54" s="75"/>
      <c r="I54" s="76"/>
      <c r="J54" s="77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3">
      <c r="A55" s="10" t="s">
        <v>38</v>
      </c>
      <c r="B55" s="4"/>
      <c r="C55" s="4"/>
      <c r="D55" s="75"/>
      <c r="E55" s="9"/>
      <c r="F55" s="9"/>
      <c r="G55" s="9"/>
      <c r="H55" s="75"/>
      <c r="I55" s="76"/>
      <c r="J55" s="77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3">
      <c r="A56" s="4"/>
      <c r="B56" s="4"/>
      <c r="C56" s="4"/>
      <c r="D56" s="75"/>
      <c r="E56" s="9"/>
      <c r="F56" s="9"/>
      <c r="G56" s="9"/>
      <c r="H56" s="75"/>
      <c r="I56" s="76"/>
      <c r="J56" s="77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3">
      <c r="A57" s="10" t="s">
        <v>39</v>
      </c>
      <c r="B57" s="4"/>
      <c r="C57" s="4"/>
      <c r="D57" s="75"/>
      <c r="E57" s="9"/>
      <c r="F57" s="9"/>
      <c r="G57" s="9"/>
      <c r="H57" s="75"/>
      <c r="I57" s="76"/>
      <c r="J57" s="77"/>
      <c r="K57" s="4"/>
      <c r="L57" s="4"/>
      <c r="M57" s="4"/>
      <c r="N57" s="4"/>
      <c r="O57" s="4"/>
      <c r="P57" s="4"/>
      <c r="Q57" s="4"/>
      <c r="R57" s="4"/>
      <c r="S57" s="4"/>
      <c r="T57" s="4"/>
    </row>
  </sheetData>
  <mergeCells count="15">
    <mergeCell ref="A4:B4"/>
    <mergeCell ref="C4:D4"/>
    <mergeCell ref="A5:Q5"/>
    <mergeCell ref="K6:M7"/>
    <mergeCell ref="N6:P7"/>
    <mergeCell ref="Q6:S7"/>
    <mergeCell ref="J39:J45"/>
    <mergeCell ref="A53:D53"/>
    <mergeCell ref="I8:I10"/>
    <mergeCell ref="J8:J10"/>
    <mergeCell ref="J11:J17"/>
    <mergeCell ref="J18:J24"/>
    <mergeCell ref="J25:J31"/>
    <mergeCell ref="J32:J38"/>
    <mergeCell ref="J46:J52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3008-6D63-489A-A0BD-3833A63327B8}">
  <dimension ref="A1:T50"/>
  <sheetViews>
    <sheetView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41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86">
        <v>46048</v>
      </c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>
        <v>46049</v>
      </c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>
        <v>46050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>
        <v>46051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>
        <v>46052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46053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54">
        <v>46054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86">
        <v>46055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46056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46057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46058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46059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46060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54">
        <v>46061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86">
        <v>46062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46063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46064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46065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46066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46067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54">
        <v>46068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86">
        <v>46069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46070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46071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46072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46073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46074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54">
        <v>46075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46076</v>
      </c>
      <c r="B39" s="65" t="s">
        <v>36</v>
      </c>
      <c r="C39" s="44"/>
      <c r="D39" s="45"/>
      <c r="E39" s="45"/>
      <c r="F39" s="45"/>
      <c r="G39" s="41">
        <f t="shared" si="0"/>
        <v>0</v>
      </c>
      <c r="H39" s="45"/>
      <c r="I39" s="62">
        <f t="shared" si="1"/>
        <v>0</v>
      </c>
      <c r="J39" s="88">
        <f>SUM(I39:I45)</f>
        <v>0</v>
      </c>
      <c r="K39" s="24"/>
      <c r="L39" s="24"/>
      <c r="M39" s="24"/>
      <c r="N39" s="24"/>
      <c r="O39" s="24"/>
      <c r="P39" s="24"/>
      <c r="Q39" s="24"/>
      <c r="R39" s="24"/>
      <c r="S39" s="24"/>
      <c r="T39" s="43"/>
    </row>
    <row r="40" spans="1:20" x14ac:dyDescent="0.3">
      <c r="A40" s="38">
        <v>46077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/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/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/>
      <c r="B43" s="44" t="s">
        <v>33</v>
      </c>
      <c r="C43" s="52"/>
      <c r="D43" s="47"/>
      <c r="E43" s="47"/>
      <c r="F43" s="47"/>
      <c r="G43" s="46">
        <f t="shared" si="0"/>
        <v>0</v>
      </c>
      <c r="H43" s="47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0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0"/>
    </row>
    <row r="45" spans="1:20" ht="15" thickBot="1" x14ac:dyDescent="0.35">
      <c r="A45" s="67"/>
      <c r="B45" s="56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50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SUM(G11:G45)</f>
        <v>0</v>
      </c>
      <c r="H46" s="70"/>
      <c r="I46" s="71"/>
      <c r="J46" s="72">
        <f>SUM(J11:J45)</f>
        <v>0</v>
      </c>
      <c r="K46" s="73"/>
      <c r="L46" s="73"/>
      <c r="M46" s="74">
        <f>SUM(M25:M39)</f>
        <v>0</v>
      </c>
      <c r="N46" s="73"/>
      <c r="O46" s="73"/>
      <c r="P46" s="74">
        <f>SUM(P25:P39)</f>
        <v>0</v>
      </c>
      <c r="Q46" s="73"/>
      <c r="R46" s="73"/>
      <c r="S46" s="74">
        <f>SUM(S25:S39)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917C-2ABA-41AB-B7A5-C5AC8537739D}">
  <dimension ref="A1:T50"/>
  <sheetViews>
    <sheetView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42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86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/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51">
        <v>46078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>
        <v>46079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>
        <v>46080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46081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54">
        <v>46082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86">
        <v>46083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46084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46085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46086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46087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46088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54">
        <v>46089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46090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46091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46092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46093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46094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46095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46096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46097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46098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46099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46100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46101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46102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46103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46104</v>
      </c>
      <c r="B39" s="65" t="s">
        <v>36</v>
      </c>
      <c r="C39" s="44"/>
      <c r="D39" s="45"/>
      <c r="E39" s="45"/>
      <c r="F39" s="45"/>
      <c r="G39" s="41">
        <f t="shared" si="0"/>
        <v>0</v>
      </c>
      <c r="H39" s="45"/>
      <c r="I39" s="62">
        <f t="shared" si="1"/>
        <v>0</v>
      </c>
      <c r="J39" s="88">
        <f>SUM(I39:I45)</f>
        <v>0</v>
      </c>
      <c r="K39" s="24"/>
      <c r="L39" s="24"/>
      <c r="M39" s="24"/>
      <c r="N39" s="24"/>
      <c r="O39" s="24"/>
      <c r="P39" s="24"/>
      <c r="Q39" s="24"/>
      <c r="R39" s="24"/>
      <c r="S39" s="24"/>
      <c r="T39" s="43"/>
    </row>
    <row r="40" spans="1:20" x14ac:dyDescent="0.3">
      <c r="A40" s="38">
        <v>46105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/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/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/>
      <c r="B43" s="44" t="s">
        <v>33</v>
      </c>
      <c r="C43" s="52"/>
      <c r="D43" s="47"/>
      <c r="E43" s="47"/>
      <c r="F43" s="47"/>
      <c r="G43" s="46">
        <f t="shared" si="0"/>
        <v>0</v>
      </c>
      <c r="H43" s="47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0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0"/>
    </row>
    <row r="45" spans="1:20" ht="15" thickBot="1" x14ac:dyDescent="0.35">
      <c r="A45" s="67"/>
      <c r="B45" s="44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50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SUM(G11:G45)</f>
        <v>0</v>
      </c>
      <c r="H46" s="70"/>
      <c r="I46" s="71"/>
      <c r="J46" s="72">
        <f>SUM(J11:J45)</f>
        <v>0</v>
      </c>
      <c r="K46" s="73"/>
      <c r="L46" s="73"/>
      <c r="M46" s="74">
        <f>SUM(M25:M39)</f>
        <v>0</v>
      </c>
      <c r="N46" s="73"/>
      <c r="O46" s="73"/>
      <c r="P46" s="74">
        <f>SUM(P25:P39)</f>
        <v>0</v>
      </c>
      <c r="Q46" s="73"/>
      <c r="R46" s="73"/>
      <c r="S46" s="74">
        <f>SUM(S25:S39)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B3C7-3B1D-47F3-9E16-ABDDE9105884}">
  <dimension ref="A1:T50"/>
  <sheetViews>
    <sheetView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43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86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/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51">
        <v>46106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51">
        <v>46107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51">
        <v>46108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51">
        <v>46109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51">
        <v>46110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51">
        <v>46111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51">
        <v>46112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51">
        <v>46113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51">
        <v>46114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51">
        <v>46115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51">
        <v>46116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51">
        <v>46117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51">
        <v>46118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51">
        <v>46119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51">
        <v>46120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51">
        <v>46121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51">
        <v>46122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51">
        <v>46123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51">
        <v>46124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51">
        <v>46125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51">
        <v>46126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51">
        <v>46127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51">
        <v>46128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51">
        <v>46129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51">
        <v>46130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51">
        <v>46131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51">
        <v>46132</v>
      </c>
      <c r="B39" s="65" t="s">
        <v>36</v>
      </c>
      <c r="C39" s="44"/>
      <c r="D39" s="45"/>
      <c r="E39" s="45"/>
      <c r="F39" s="45"/>
      <c r="G39" s="41">
        <f t="shared" si="0"/>
        <v>0</v>
      </c>
      <c r="H39" s="45"/>
      <c r="I39" s="62">
        <f t="shared" si="1"/>
        <v>0</v>
      </c>
      <c r="J39" s="88">
        <f>SUM(I39:I45)</f>
        <v>0</v>
      </c>
      <c r="K39" s="24"/>
      <c r="L39" s="24"/>
      <c r="M39" s="24"/>
      <c r="N39" s="24"/>
      <c r="O39" s="24"/>
      <c r="P39" s="24"/>
      <c r="Q39" s="24"/>
      <c r="R39" s="24"/>
      <c r="S39" s="24"/>
      <c r="T39" s="43"/>
    </row>
    <row r="40" spans="1:20" x14ac:dyDescent="0.3">
      <c r="A40" s="51">
        <v>46133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51">
        <v>46134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51">
        <v>46135</v>
      </c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51">
        <v>46136</v>
      </c>
      <c r="B43" s="44" t="s">
        <v>33</v>
      </c>
      <c r="C43" s="52"/>
      <c r="D43" s="47"/>
      <c r="E43" s="47"/>
      <c r="F43" s="47"/>
      <c r="G43" s="46">
        <f t="shared" si="0"/>
        <v>0</v>
      </c>
      <c r="H43" s="47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0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0"/>
    </row>
    <row r="45" spans="1:20" ht="15" thickBot="1" x14ac:dyDescent="0.35">
      <c r="A45" s="67"/>
      <c r="B45" s="44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50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SUM(G11:G45)</f>
        <v>0</v>
      </c>
      <c r="H46" s="70"/>
      <c r="I46" s="71"/>
      <c r="J46" s="72">
        <f>SUM(J11:J45)</f>
        <v>0</v>
      </c>
      <c r="K46" s="73"/>
      <c r="L46" s="73"/>
      <c r="M46" s="74">
        <f>SUM(M25:M39)</f>
        <v>0</v>
      </c>
      <c r="N46" s="73"/>
      <c r="O46" s="73"/>
      <c r="P46" s="74">
        <f>SUM(P25:P39)</f>
        <v>0</v>
      </c>
      <c r="Q46" s="73"/>
      <c r="R46" s="73"/>
      <c r="S46" s="74">
        <f>SUM(S25:S39)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CD9C-B4CF-4D1F-992E-A9799227A781}">
  <dimension ref="A1:T43"/>
  <sheetViews>
    <sheetView workbookViewId="0">
      <selection activeCell="H49" sqref="H49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44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87">
        <v>46139</v>
      </c>
      <c r="B11" s="39" t="s">
        <v>36</v>
      </c>
      <c r="C11" s="39"/>
      <c r="D11" s="40"/>
      <c r="E11" s="40"/>
      <c r="F11" s="40"/>
      <c r="G11" s="41">
        <f t="shared" ref="G11:G38" si="0">SUM(F11-E11)</f>
        <v>0</v>
      </c>
      <c r="H11" s="40"/>
      <c r="I11" s="42">
        <f t="shared" ref="I11:I38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51">
        <v>46140</v>
      </c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51">
        <v>46141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51">
        <v>46142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51">
        <v>46143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51">
        <v>46144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38">
        <v>46145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ht="15" thickBot="1" x14ac:dyDescent="0.35">
      <c r="A18" s="86">
        <v>46146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ht="15" thickBot="1" x14ac:dyDescent="0.35">
      <c r="A19" s="86">
        <v>46147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ht="15" thickBot="1" x14ac:dyDescent="0.35">
      <c r="A20" s="86">
        <v>46148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ht="15" thickBot="1" x14ac:dyDescent="0.35">
      <c r="A21" s="86">
        <v>46149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15" thickBot="1" x14ac:dyDescent="0.35">
      <c r="A22" s="86">
        <v>46150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ht="15" thickBot="1" x14ac:dyDescent="0.35">
      <c r="A23" s="86">
        <v>46151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86">
        <v>46152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87">
        <v>46153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51">
        <v>46154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51">
        <v>46155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51">
        <v>46156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51">
        <v>46157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51">
        <v>46158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38">
        <v>46159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87">
        <v>46160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51">
        <v>46161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51">
        <v>46162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51">
        <v>46163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51">
        <v>46164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51">
        <v>46165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46166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92" t="s">
        <v>37</v>
      </c>
      <c r="B39" s="93"/>
      <c r="C39" s="93"/>
      <c r="D39" s="94"/>
      <c r="E39" s="68"/>
      <c r="F39" s="68"/>
      <c r="G39" s="69">
        <f>SUM(G11:G38)</f>
        <v>0</v>
      </c>
      <c r="H39" s="70"/>
      <c r="I39" s="71"/>
      <c r="J39" s="72">
        <f>SUM(J11:J38)</f>
        <v>0</v>
      </c>
      <c r="K39" s="73"/>
      <c r="L39" s="73"/>
      <c r="M39" s="74">
        <f>SUM(M25:M38)</f>
        <v>0</v>
      </c>
      <c r="N39" s="73"/>
      <c r="O39" s="73"/>
      <c r="P39" s="74">
        <f>SUM(P25:P38)</f>
        <v>0</v>
      </c>
      <c r="Q39" s="73"/>
      <c r="R39" s="73"/>
      <c r="S39" s="74">
        <f>SUM(S25:S38)</f>
        <v>0</v>
      </c>
      <c r="T39" s="73"/>
    </row>
    <row r="40" spans="1:20" x14ac:dyDescent="0.3">
      <c r="A40" s="4"/>
      <c r="B40" s="4"/>
      <c r="C40" s="4"/>
      <c r="D40" s="75"/>
      <c r="E40" s="9"/>
      <c r="F40" s="9"/>
      <c r="G40" s="9"/>
      <c r="H40" s="75"/>
      <c r="I40" s="76"/>
      <c r="J40" s="77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3">
      <c r="A41" s="10" t="s">
        <v>38</v>
      </c>
      <c r="B41" s="4"/>
      <c r="C41" s="4"/>
      <c r="D41" s="75"/>
      <c r="E41" s="9"/>
      <c r="F41" s="9"/>
      <c r="G41" s="9"/>
      <c r="H41" s="75"/>
      <c r="I41" s="76"/>
      <c r="J41" s="77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3">
      <c r="A42" s="4"/>
      <c r="B42" s="4"/>
      <c r="C42" s="4"/>
      <c r="D42" s="75"/>
      <c r="E42" s="9"/>
      <c r="F42" s="9"/>
      <c r="G42" s="9"/>
      <c r="H42" s="75"/>
      <c r="I42" s="76"/>
      <c r="J42" s="77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3">
      <c r="A43" s="10" t="s">
        <v>39</v>
      </c>
      <c r="B43" s="4"/>
      <c r="C43" s="4"/>
      <c r="D43" s="75"/>
      <c r="E43" s="9"/>
      <c r="F43" s="9"/>
      <c r="G43" s="9"/>
      <c r="H43" s="75"/>
      <c r="I43" s="76"/>
      <c r="J43" s="77"/>
      <c r="K43" s="4"/>
      <c r="L43" s="4"/>
      <c r="M43" s="4"/>
      <c r="N43" s="4"/>
      <c r="O43" s="4"/>
      <c r="P43" s="4"/>
      <c r="Q43" s="4"/>
      <c r="R43" s="4"/>
      <c r="S43" s="4"/>
      <c r="T43" s="4"/>
    </row>
  </sheetData>
  <mergeCells count="13">
    <mergeCell ref="A39:D39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5240-DE01-40CC-8A9E-46A50471A3A4}">
  <dimension ref="A1:T50"/>
  <sheetViews>
    <sheetView topLeftCell="A4"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45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>
        <v>46167</v>
      </c>
      <c r="B11" s="39" t="s">
        <v>36</v>
      </c>
      <c r="C11" s="39"/>
      <c r="D11" s="40"/>
      <c r="E11" s="40"/>
      <c r="F11" s="40"/>
      <c r="G11" s="41">
        <f t="shared" ref="G11:G38" si="0">SUM(F11-E11)</f>
        <v>0</v>
      </c>
      <c r="H11" s="40"/>
      <c r="I11" s="42">
        <f t="shared" ref="I11:I38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51">
        <v>46168</v>
      </c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51">
        <v>46169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51">
        <v>46170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51">
        <v>46171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51">
        <v>46172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46173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46174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51">
        <v>46175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51">
        <v>46176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51">
        <v>46177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51">
        <v>46178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51">
        <v>46179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46180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46181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51">
        <v>46182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51">
        <v>46183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51">
        <v>46184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51">
        <v>46185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51">
        <v>46186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38">
        <v>46187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87">
        <v>46188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51">
        <v>46189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51">
        <v>46190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51">
        <v>46191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51">
        <v>46192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51">
        <v>46193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46194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46195</v>
      </c>
      <c r="B39" s="78" t="s">
        <v>36</v>
      </c>
      <c r="C39" s="79"/>
      <c r="D39" s="80"/>
      <c r="E39" s="80"/>
      <c r="F39" s="80"/>
      <c r="G39" s="81">
        <f t="shared" ref="G39:G45" si="2">SUM(F39-E39)</f>
        <v>0</v>
      </c>
      <c r="H39" s="80"/>
      <c r="I39" s="82">
        <f t="shared" ref="I39:I45" si="3">((H39-D39)-(F39-E39))</f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38">
        <v>46196</v>
      </c>
      <c r="B40" s="44" t="s">
        <v>30</v>
      </c>
      <c r="C40" s="44"/>
      <c r="D40" s="45"/>
      <c r="E40" s="45"/>
      <c r="F40" s="45"/>
      <c r="G40" s="46">
        <f t="shared" si="2"/>
        <v>0</v>
      </c>
      <c r="H40" s="45"/>
      <c r="I40" s="63">
        <f t="shared" si="3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>
        <v>46197</v>
      </c>
      <c r="B41" s="44" t="s">
        <v>31</v>
      </c>
      <c r="C41" s="44"/>
      <c r="D41" s="45"/>
      <c r="E41" s="45"/>
      <c r="F41" s="45"/>
      <c r="G41" s="46">
        <f t="shared" si="2"/>
        <v>0</v>
      </c>
      <c r="H41" s="45"/>
      <c r="I41" s="63">
        <f t="shared" si="3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/>
      <c r="B42" s="44" t="s">
        <v>32</v>
      </c>
      <c r="C42" s="44"/>
      <c r="D42" s="45"/>
      <c r="E42" s="45"/>
      <c r="F42" s="45"/>
      <c r="G42" s="46">
        <f t="shared" si="2"/>
        <v>0</v>
      </c>
      <c r="H42" s="45"/>
      <c r="I42" s="63">
        <f t="shared" si="3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/>
      <c r="B43" s="44" t="s">
        <v>33</v>
      </c>
      <c r="C43" s="44"/>
      <c r="D43" s="45"/>
      <c r="E43" s="45"/>
      <c r="F43" s="45"/>
      <c r="G43" s="46">
        <f t="shared" si="2"/>
        <v>0</v>
      </c>
      <c r="H43" s="45"/>
      <c r="I43" s="63">
        <f t="shared" si="3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2"/>
        <v>0</v>
      </c>
      <c r="H44" s="47"/>
      <c r="I44" s="63">
        <f t="shared" si="3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/>
      <c r="B45" s="55" t="s">
        <v>35</v>
      </c>
      <c r="C45" s="56"/>
      <c r="D45" s="57"/>
      <c r="E45" s="57"/>
      <c r="F45" s="57"/>
      <c r="G45" s="58">
        <f t="shared" si="2"/>
        <v>0</v>
      </c>
      <c r="H45" s="57"/>
      <c r="I45" s="59">
        <f t="shared" si="3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A46:D46"/>
    <mergeCell ref="J39:J45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7A46-D619-41FA-A340-7D76F4F4BFA4}">
  <dimension ref="A1:T50"/>
  <sheetViews>
    <sheetView topLeftCell="A2"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46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51"/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51"/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51">
        <v>46198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51">
        <v>46199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51">
        <v>46200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46201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46202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51">
        <v>46203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51">
        <v>46204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51">
        <v>46205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51">
        <v>46206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51">
        <v>46207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46208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46209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51">
        <v>46210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51">
        <v>46211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51">
        <v>46212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51">
        <v>46213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51">
        <v>46214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46215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46216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51">
        <v>46217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51">
        <v>46218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51">
        <v>46219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51">
        <v>46220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51">
        <v>46221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46222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46223</v>
      </c>
      <c r="B39" s="78" t="s">
        <v>36</v>
      </c>
      <c r="C39" s="79"/>
      <c r="D39" s="80"/>
      <c r="E39" s="80"/>
      <c r="F39" s="80"/>
      <c r="G39" s="81">
        <f t="shared" si="0"/>
        <v>0</v>
      </c>
      <c r="H39" s="80"/>
      <c r="I39" s="82">
        <f t="shared" si="1"/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51">
        <v>46224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51">
        <v>46225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51">
        <v>46226</v>
      </c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51">
        <v>46227</v>
      </c>
      <c r="B43" s="44" t="s">
        <v>33</v>
      </c>
      <c r="C43" s="44"/>
      <c r="D43" s="45"/>
      <c r="E43" s="45"/>
      <c r="F43" s="45"/>
      <c r="G43" s="46">
        <f t="shared" si="0"/>
        <v>0</v>
      </c>
      <c r="H43" s="45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/>
      <c r="B45" s="55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9F6B-BFE3-4FB7-9DCD-E43BC8ED302C}">
  <dimension ref="A1:T50"/>
  <sheetViews>
    <sheetView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47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>
        <v>46228</v>
      </c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>
        <v>46229</v>
      </c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>
        <v>46230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>
        <v>46231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>
        <v>46232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46233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46234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46235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46236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46237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46238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46239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46240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46241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46242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46243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46244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46245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46246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46247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46248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46249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46250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46251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46252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46253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46254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46255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46256</v>
      </c>
      <c r="B39" s="78" t="s">
        <v>36</v>
      </c>
      <c r="C39" s="79"/>
      <c r="D39" s="80"/>
      <c r="E39" s="80"/>
      <c r="F39" s="80"/>
      <c r="G39" s="81">
        <f t="shared" si="0"/>
        <v>0</v>
      </c>
      <c r="H39" s="80"/>
      <c r="I39" s="82">
        <f t="shared" si="1"/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38">
        <v>46257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>
        <v>46258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51"/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51"/>
      <c r="B43" s="44" t="s">
        <v>33</v>
      </c>
      <c r="C43" s="44"/>
      <c r="D43" s="45"/>
      <c r="E43" s="45"/>
      <c r="F43" s="45"/>
      <c r="G43" s="46">
        <f t="shared" si="0"/>
        <v>0</v>
      </c>
      <c r="H43" s="45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/>
      <c r="B45" s="55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8064-29A2-4BEF-AE2A-278267A41C7F}">
  <dimension ref="A1:T50"/>
  <sheetViews>
    <sheetView workbookViewId="0">
      <selection activeCell="D6" sqref="D6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48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/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/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>
        <v>46259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>
        <v>46260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46261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46262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46263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46264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46265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46266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46267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46268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46269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46270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46271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46272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46273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46274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46275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46276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46277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46278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46279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46280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46281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46282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46283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46284</v>
      </c>
      <c r="B39" s="78" t="s">
        <v>36</v>
      </c>
      <c r="C39" s="79"/>
      <c r="D39" s="80"/>
      <c r="E39" s="80"/>
      <c r="F39" s="80"/>
      <c r="G39" s="81">
        <f t="shared" si="0"/>
        <v>0</v>
      </c>
      <c r="H39" s="80"/>
      <c r="I39" s="82">
        <f t="shared" si="1"/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38">
        <v>46285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>
        <v>46286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>
        <v>46287</v>
      </c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>
        <v>46288</v>
      </c>
      <c r="B43" s="44" t="s">
        <v>33</v>
      </c>
      <c r="C43" s="44"/>
      <c r="D43" s="45"/>
      <c r="E43" s="45"/>
      <c r="F43" s="45"/>
      <c r="G43" s="46">
        <f t="shared" si="0"/>
        <v>0</v>
      </c>
      <c r="H43" s="45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>
        <v>46289</v>
      </c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/>
      <c r="B45" s="55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4BF6-23B9-4314-8647-64838ECBBE6B}">
  <dimension ref="A1:T50"/>
  <sheetViews>
    <sheetView workbookViewId="0">
      <selection activeCell="B7" sqref="B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49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>
        <v>46291</v>
      </c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>
        <v>46292</v>
      </c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>
        <v>46293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>
        <v>46294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>
        <v>46295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46296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46297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46298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46299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46300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46301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46302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46303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46304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46305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46306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46307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46308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46309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46310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46311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46312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46313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46314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46315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46316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46317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46318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46319</v>
      </c>
      <c r="B39" s="78" t="s">
        <v>36</v>
      </c>
      <c r="C39" s="79"/>
      <c r="D39" s="80"/>
      <c r="E39" s="80"/>
      <c r="F39" s="80"/>
      <c r="G39" s="81">
        <f t="shared" si="0"/>
        <v>0</v>
      </c>
      <c r="H39" s="80"/>
      <c r="I39" s="82">
        <f t="shared" si="1"/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38"/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/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/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/>
      <c r="B43" s="44" t="s">
        <v>33</v>
      </c>
      <c r="C43" s="44"/>
      <c r="D43" s="45"/>
      <c r="E43" s="45"/>
      <c r="F43" s="45"/>
      <c r="G43" s="46">
        <f t="shared" si="0"/>
        <v>0</v>
      </c>
      <c r="H43" s="45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/>
      <c r="B45" s="55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EBC5-64A8-4AF0-81A4-68AD9B01ADE4}">
  <dimension ref="A1:T50"/>
  <sheetViews>
    <sheetView topLeftCell="A19" workbookViewId="0">
      <selection activeCell="A42" sqref="A42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50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>
        <v>46320</v>
      </c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>
        <v>46321</v>
      </c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>
        <v>46322</v>
      </c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>
        <v>46323</v>
      </c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46324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46325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46326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46327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46328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46329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46330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46331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46332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46333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46334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46335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46336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46337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46338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46339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46340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46341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46342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46343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46344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46345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46346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46347</v>
      </c>
      <c r="B39" s="78" t="s">
        <v>36</v>
      </c>
      <c r="C39" s="79"/>
      <c r="D39" s="80"/>
      <c r="E39" s="80"/>
      <c r="F39" s="80"/>
      <c r="G39" s="81">
        <f t="shared" si="0"/>
        <v>0</v>
      </c>
      <c r="H39" s="80"/>
      <c r="I39" s="82">
        <f t="shared" si="1"/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38">
        <v>46348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>
        <v>46349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>
        <v>46350</v>
      </c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/>
      <c r="B43" s="44" t="s">
        <v>33</v>
      </c>
      <c r="C43" s="44"/>
      <c r="D43" s="45"/>
      <c r="E43" s="45"/>
      <c r="F43" s="45"/>
      <c r="G43" s="46">
        <f t="shared" si="0"/>
        <v>0</v>
      </c>
      <c r="H43" s="45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/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/>
      <c r="B45" s="55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5C4F-E17D-4533-B1AD-ECB10F99CECD}">
  <dimension ref="A1:T50"/>
  <sheetViews>
    <sheetView workbookViewId="0">
      <selection activeCell="C7" sqref="C7"/>
    </sheetView>
  </sheetViews>
  <sheetFormatPr defaultRowHeight="14.4" x14ac:dyDescent="0.3"/>
  <cols>
    <col min="10" max="10" width="18.5546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1" t="s">
        <v>1</v>
      </c>
      <c r="B2" s="1"/>
      <c r="C2" s="1"/>
      <c r="D2" s="1"/>
      <c r="E2" s="5" t="s">
        <v>2</v>
      </c>
      <c r="F2" s="6"/>
      <c r="G2" s="6"/>
      <c r="H2" s="6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05" t="s">
        <v>4</v>
      </c>
      <c r="B4" s="105"/>
      <c r="C4" s="106"/>
      <c r="D4" s="107"/>
      <c r="E4" s="7"/>
      <c r="F4" s="8"/>
      <c r="G4" s="7"/>
      <c r="H4" s="9"/>
      <c r="I4" s="4"/>
      <c r="J4" s="9"/>
      <c r="K4" s="4"/>
      <c r="L4" s="4"/>
      <c r="M4" s="4"/>
      <c r="N4" s="4"/>
      <c r="O4" s="4"/>
      <c r="P4" s="4"/>
      <c r="Q4" s="4"/>
      <c r="R4" s="4"/>
      <c r="S4" s="10"/>
      <c r="T4" s="4"/>
    </row>
    <row r="5" spans="1:20" x14ac:dyDescent="0.3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4"/>
      <c r="S5" s="4"/>
      <c r="T5" s="4"/>
    </row>
    <row r="6" spans="1:20" x14ac:dyDescent="0.3">
      <c r="A6" s="11" t="s">
        <v>6</v>
      </c>
      <c r="B6" s="11">
        <v>2026</v>
      </c>
      <c r="C6" s="4"/>
      <c r="D6" s="9"/>
      <c r="E6" s="9"/>
      <c r="F6" s="9"/>
      <c r="G6" s="12"/>
      <c r="H6" s="9"/>
      <c r="I6" s="4"/>
      <c r="J6" s="13"/>
      <c r="K6" s="109" t="s">
        <v>7</v>
      </c>
      <c r="L6" s="109"/>
      <c r="M6" s="109"/>
      <c r="N6" s="109" t="s">
        <v>8</v>
      </c>
      <c r="O6" s="109"/>
      <c r="P6" s="109"/>
      <c r="Q6" s="109" t="s">
        <v>9</v>
      </c>
      <c r="R6" s="109"/>
      <c r="S6" s="109"/>
      <c r="T6" s="14" t="s">
        <v>10</v>
      </c>
    </row>
    <row r="7" spans="1:20" ht="15" thickBot="1" x14ac:dyDescent="0.35">
      <c r="A7" s="11" t="s">
        <v>11</v>
      </c>
      <c r="B7" s="11" t="s">
        <v>51</v>
      </c>
      <c r="C7" s="4"/>
      <c r="D7" s="9"/>
      <c r="E7" s="9"/>
      <c r="F7" s="9"/>
      <c r="G7" s="12"/>
      <c r="H7" s="9"/>
      <c r="I7" s="4"/>
      <c r="J7" s="15" t="s">
        <v>12</v>
      </c>
      <c r="K7" s="110"/>
      <c r="L7" s="110"/>
      <c r="M7" s="110"/>
      <c r="N7" s="110"/>
      <c r="O7" s="110"/>
      <c r="P7" s="110"/>
      <c r="Q7" s="110"/>
      <c r="R7" s="110"/>
      <c r="S7" s="110"/>
      <c r="T7" s="16"/>
    </row>
    <row r="8" spans="1:20" x14ac:dyDescent="0.3">
      <c r="A8" s="17"/>
      <c r="B8" s="18"/>
      <c r="C8" s="19"/>
      <c r="D8" s="20"/>
      <c r="E8" s="21"/>
      <c r="F8" s="21"/>
      <c r="G8" s="20"/>
      <c r="H8" s="20"/>
      <c r="I8" s="95" t="s">
        <v>13</v>
      </c>
      <c r="J8" s="98" t="s">
        <v>14</v>
      </c>
      <c r="K8" s="22"/>
      <c r="L8" s="23"/>
      <c r="M8" s="23" t="s">
        <v>15</v>
      </c>
      <c r="N8" s="24"/>
      <c r="O8" s="24"/>
      <c r="P8" s="23" t="s">
        <v>15</v>
      </c>
      <c r="Q8" s="23"/>
      <c r="R8" s="25"/>
      <c r="S8" s="23" t="s">
        <v>15</v>
      </c>
      <c r="T8" s="26"/>
    </row>
    <row r="9" spans="1:20" x14ac:dyDescent="0.3">
      <c r="A9" s="27"/>
      <c r="B9" s="10"/>
      <c r="C9" s="4"/>
      <c r="D9" s="9"/>
      <c r="E9" s="12"/>
      <c r="F9" s="12"/>
      <c r="G9" s="15" t="s">
        <v>12</v>
      </c>
      <c r="H9" s="9"/>
      <c r="I9" s="96"/>
      <c r="J9" s="99"/>
      <c r="K9" s="28" t="s">
        <v>16</v>
      </c>
      <c r="L9" s="14" t="s">
        <v>17</v>
      </c>
      <c r="M9" s="14" t="s">
        <v>18</v>
      </c>
      <c r="N9" s="14" t="s">
        <v>16</v>
      </c>
      <c r="O9" s="14" t="s">
        <v>19</v>
      </c>
      <c r="P9" s="14" t="s">
        <v>18</v>
      </c>
      <c r="Q9" s="14" t="s">
        <v>16</v>
      </c>
      <c r="R9" s="29" t="s">
        <v>20</v>
      </c>
      <c r="S9" s="14" t="s">
        <v>18</v>
      </c>
      <c r="T9" s="30"/>
    </row>
    <row r="10" spans="1:20" ht="22.2" thickBot="1" x14ac:dyDescent="0.35">
      <c r="A10" s="31" t="s">
        <v>21</v>
      </c>
      <c r="B10" s="32" t="s">
        <v>22</v>
      </c>
      <c r="C10" s="32" t="s">
        <v>23</v>
      </c>
      <c r="D10" s="33" t="s">
        <v>24</v>
      </c>
      <c r="E10" s="33" t="s">
        <v>25</v>
      </c>
      <c r="F10" s="33" t="s">
        <v>26</v>
      </c>
      <c r="G10" s="34" t="s">
        <v>27</v>
      </c>
      <c r="H10" s="33" t="s">
        <v>28</v>
      </c>
      <c r="I10" s="97"/>
      <c r="J10" s="100"/>
      <c r="K10" s="35"/>
      <c r="L10" s="36"/>
      <c r="M10" s="36" t="s">
        <v>29</v>
      </c>
      <c r="N10" s="16"/>
      <c r="O10" s="16"/>
      <c r="P10" s="36" t="s">
        <v>29</v>
      </c>
      <c r="Q10" s="36"/>
      <c r="R10" s="32"/>
      <c r="S10" s="36" t="s">
        <v>29</v>
      </c>
      <c r="T10" s="37"/>
    </row>
    <row r="11" spans="1:20" x14ac:dyDescent="0.3">
      <c r="A11" s="38"/>
      <c r="B11" s="39" t="s">
        <v>36</v>
      </c>
      <c r="C11" s="39"/>
      <c r="D11" s="40"/>
      <c r="E11" s="40"/>
      <c r="F11" s="40"/>
      <c r="G11" s="41">
        <f t="shared" ref="G11:G45" si="0">SUM(F11-E11)</f>
        <v>0</v>
      </c>
      <c r="H11" s="40"/>
      <c r="I11" s="42">
        <f t="shared" ref="I11:I45" si="1">((H11-D11)-(F11-E11))</f>
        <v>0</v>
      </c>
      <c r="J11" s="101">
        <f>SUM(I11:I17)</f>
        <v>0</v>
      </c>
      <c r="K11" s="24"/>
      <c r="L11" s="24"/>
      <c r="M11" s="24"/>
      <c r="N11" s="24"/>
      <c r="O11" s="24"/>
      <c r="P11" s="24"/>
      <c r="Q11" s="24"/>
      <c r="R11" s="24"/>
      <c r="S11" s="24"/>
      <c r="T11" s="43"/>
    </row>
    <row r="12" spans="1:20" x14ac:dyDescent="0.3">
      <c r="A12" s="38"/>
      <c r="B12" s="44" t="s">
        <v>30</v>
      </c>
      <c r="C12" s="44"/>
      <c r="D12" s="45"/>
      <c r="E12" s="45"/>
      <c r="F12" s="45"/>
      <c r="G12" s="46">
        <f t="shared" si="0"/>
        <v>0</v>
      </c>
      <c r="H12" s="47"/>
      <c r="I12" s="48">
        <f t="shared" si="1"/>
        <v>0</v>
      </c>
      <c r="J12" s="102"/>
      <c r="K12" s="49"/>
      <c r="L12" s="49"/>
      <c r="M12" s="49"/>
      <c r="N12" s="49"/>
      <c r="O12" s="49"/>
      <c r="P12" s="49"/>
      <c r="Q12" s="49"/>
      <c r="R12" s="49"/>
      <c r="S12" s="49"/>
      <c r="T12" s="30"/>
    </row>
    <row r="13" spans="1:20" x14ac:dyDescent="0.3">
      <c r="A13" s="38"/>
      <c r="B13" s="44" t="s">
        <v>31</v>
      </c>
      <c r="C13" s="44"/>
      <c r="D13" s="45"/>
      <c r="E13" s="45"/>
      <c r="F13" s="45"/>
      <c r="G13" s="46">
        <f t="shared" si="0"/>
        <v>0</v>
      </c>
      <c r="H13" s="47"/>
      <c r="I13" s="48">
        <f t="shared" si="1"/>
        <v>0</v>
      </c>
      <c r="J13" s="102"/>
      <c r="K13" s="49"/>
      <c r="L13" s="49"/>
      <c r="M13" s="49"/>
      <c r="N13" s="49"/>
      <c r="O13" s="49"/>
      <c r="P13" s="49"/>
      <c r="Q13" s="49"/>
      <c r="R13" s="49"/>
      <c r="S13" s="49"/>
      <c r="T13" s="30"/>
    </row>
    <row r="14" spans="1:20" x14ac:dyDescent="0.3">
      <c r="A14" s="38"/>
      <c r="B14" s="44" t="s">
        <v>32</v>
      </c>
      <c r="C14" s="44"/>
      <c r="D14" s="45"/>
      <c r="E14" s="45"/>
      <c r="F14" s="45"/>
      <c r="G14" s="46">
        <f t="shared" si="0"/>
        <v>0</v>
      </c>
      <c r="H14" s="45"/>
      <c r="I14" s="48">
        <f t="shared" si="1"/>
        <v>0</v>
      </c>
      <c r="J14" s="102"/>
      <c r="K14" s="49"/>
      <c r="L14" s="49"/>
      <c r="M14" s="49"/>
      <c r="N14" s="49"/>
      <c r="O14" s="49"/>
      <c r="P14" s="49"/>
      <c r="Q14" s="49"/>
      <c r="R14" s="49"/>
      <c r="S14" s="49"/>
      <c r="T14" s="50"/>
    </row>
    <row r="15" spans="1:20" x14ac:dyDescent="0.3">
      <c r="A15" s="38"/>
      <c r="B15" s="44" t="s">
        <v>33</v>
      </c>
      <c r="C15" s="44"/>
      <c r="D15" s="45"/>
      <c r="E15" s="45"/>
      <c r="F15" s="45"/>
      <c r="G15" s="46">
        <f t="shared" si="0"/>
        <v>0</v>
      </c>
      <c r="H15" s="45"/>
      <c r="I15" s="48">
        <f t="shared" si="1"/>
        <v>0</v>
      </c>
      <c r="J15" s="102"/>
      <c r="K15" s="16"/>
      <c r="L15" s="16"/>
      <c r="M15" s="16"/>
      <c r="N15" s="16"/>
      <c r="O15" s="16"/>
      <c r="P15" s="16"/>
      <c r="Q15" s="16"/>
      <c r="R15" s="16"/>
      <c r="S15" s="16"/>
      <c r="T15" s="53"/>
    </row>
    <row r="16" spans="1:20" x14ac:dyDescent="0.3">
      <c r="A16" s="38">
        <v>46351</v>
      </c>
      <c r="B16" s="44" t="s">
        <v>34</v>
      </c>
      <c r="C16" s="52"/>
      <c r="D16" s="47"/>
      <c r="E16" s="47"/>
      <c r="F16" s="47"/>
      <c r="G16" s="46">
        <f t="shared" si="0"/>
        <v>0</v>
      </c>
      <c r="H16" s="47"/>
      <c r="I16" s="48">
        <f t="shared" si="1"/>
        <v>0</v>
      </c>
      <c r="J16" s="102"/>
      <c r="K16" s="16"/>
      <c r="L16" s="16"/>
      <c r="M16" s="16"/>
      <c r="N16" s="16"/>
      <c r="O16" s="16"/>
      <c r="P16" s="16"/>
      <c r="Q16" s="16"/>
      <c r="R16" s="16"/>
      <c r="S16" s="16"/>
      <c r="T16" s="53"/>
    </row>
    <row r="17" spans="1:20" ht="15" thickBot="1" x14ac:dyDescent="0.35">
      <c r="A17" s="67">
        <v>46352</v>
      </c>
      <c r="B17" s="55" t="s">
        <v>35</v>
      </c>
      <c r="C17" s="56"/>
      <c r="D17" s="57"/>
      <c r="E17" s="57"/>
      <c r="F17" s="57"/>
      <c r="G17" s="58">
        <f t="shared" si="0"/>
        <v>0</v>
      </c>
      <c r="H17" s="57"/>
      <c r="I17" s="59">
        <f t="shared" si="1"/>
        <v>0</v>
      </c>
      <c r="J17" s="103"/>
      <c r="K17" s="60"/>
      <c r="L17" s="60"/>
      <c r="M17" s="60"/>
      <c r="N17" s="60"/>
      <c r="O17" s="60"/>
      <c r="P17" s="60"/>
      <c r="Q17" s="60"/>
      <c r="R17" s="60"/>
      <c r="S17" s="60"/>
      <c r="T17" s="61"/>
    </row>
    <row r="18" spans="1:20" x14ac:dyDescent="0.3">
      <c r="A18" s="38">
        <v>46353</v>
      </c>
      <c r="B18" s="65" t="s">
        <v>36</v>
      </c>
      <c r="C18" s="44"/>
      <c r="D18" s="45"/>
      <c r="E18" s="45"/>
      <c r="F18" s="45"/>
      <c r="G18" s="41">
        <f t="shared" si="0"/>
        <v>0</v>
      </c>
      <c r="H18" s="45"/>
      <c r="I18" s="42">
        <f t="shared" si="1"/>
        <v>0</v>
      </c>
      <c r="J18" s="101">
        <f>SUM(I18:I24)</f>
        <v>0</v>
      </c>
      <c r="K18" s="24"/>
      <c r="L18" s="24"/>
      <c r="M18" s="24"/>
      <c r="N18" s="24"/>
      <c r="O18" s="24"/>
      <c r="P18" s="24"/>
      <c r="Q18" s="24"/>
      <c r="R18" s="24"/>
      <c r="S18" s="24"/>
      <c r="T18" s="43"/>
    </row>
    <row r="19" spans="1:20" x14ac:dyDescent="0.3">
      <c r="A19" s="38">
        <v>46354</v>
      </c>
      <c r="B19" s="44" t="s">
        <v>30</v>
      </c>
      <c r="C19" s="44"/>
      <c r="D19" s="45"/>
      <c r="E19" s="45"/>
      <c r="F19" s="45"/>
      <c r="G19" s="46">
        <f t="shared" si="0"/>
        <v>0</v>
      </c>
      <c r="H19" s="45"/>
      <c r="I19" s="48">
        <f t="shared" si="1"/>
        <v>0</v>
      </c>
      <c r="J19" s="102"/>
      <c r="K19" s="49"/>
      <c r="L19" s="49"/>
      <c r="M19" s="49"/>
      <c r="N19" s="49"/>
      <c r="O19" s="49"/>
      <c r="P19" s="49"/>
      <c r="Q19" s="49"/>
      <c r="R19" s="49"/>
      <c r="S19" s="49"/>
      <c r="T19" s="30"/>
    </row>
    <row r="20" spans="1:20" x14ac:dyDescent="0.3">
      <c r="A20" s="38">
        <v>46355</v>
      </c>
      <c r="B20" s="44" t="s">
        <v>31</v>
      </c>
      <c r="C20" s="44"/>
      <c r="D20" s="45"/>
      <c r="E20" s="45"/>
      <c r="F20" s="45"/>
      <c r="G20" s="46">
        <f t="shared" si="0"/>
        <v>0</v>
      </c>
      <c r="H20" s="45"/>
      <c r="I20" s="48">
        <f t="shared" si="1"/>
        <v>0</v>
      </c>
      <c r="J20" s="102"/>
      <c r="K20" s="49"/>
      <c r="L20" s="49"/>
      <c r="M20" s="49"/>
      <c r="N20" s="49"/>
      <c r="O20" s="49"/>
      <c r="P20" s="49"/>
      <c r="Q20" s="49"/>
      <c r="R20" s="49"/>
      <c r="S20" s="49"/>
      <c r="T20" s="30"/>
    </row>
    <row r="21" spans="1:20" x14ac:dyDescent="0.3">
      <c r="A21" s="38">
        <v>46356</v>
      </c>
      <c r="B21" s="44" t="s">
        <v>32</v>
      </c>
      <c r="C21" s="44"/>
      <c r="D21" s="45"/>
      <c r="E21" s="45"/>
      <c r="F21" s="45"/>
      <c r="G21" s="46">
        <f t="shared" si="0"/>
        <v>0</v>
      </c>
      <c r="H21" s="45"/>
      <c r="I21" s="48">
        <f t="shared" si="1"/>
        <v>0</v>
      </c>
      <c r="J21" s="102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x14ac:dyDescent="0.3">
      <c r="A22" s="38">
        <v>46357</v>
      </c>
      <c r="B22" s="44" t="s">
        <v>33</v>
      </c>
      <c r="C22" s="44"/>
      <c r="D22" s="45"/>
      <c r="E22" s="45"/>
      <c r="F22" s="45"/>
      <c r="G22" s="46">
        <f t="shared" si="0"/>
        <v>0</v>
      </c>
      <c r="H22" s="45"/>
      <c r="I22" s="48">
        <f t="shared" si="1"/>
        <v>0</v>
      </c>
      <c r="J22" s="102"/>
      <c r="K22" s="16"/>
      <c r="L22" s="16"/>
      <c r="M22" s="16"/>
      <c r="N22" s="16"/>
      <c r="O22" s="16"/>
      <c r="P22" s="16"/>
      <c r="Q22" s="16"/>
      <c r="R22" s="16"/>
      <c r="S22" s="16"/>
      <c r="T22" s="53"/>
    </row>
    <row r="23" spans="1:20" x14ac:dyDescent="0.3">
      <c r="A23" s="38">
        <v>46358</v>
      </c>
      <c r="B23" s="44" t="s">
        <v>34</v>
      </c>
      <c r="C23" s="52"/>
      <c r="D23" s="47"/>
      <c r="E23" s="47"/>
      <c r="F23" s="47"/>
      <c r="G23" s="46">
        <f t="shared" si="0"/>
        <v>0</v>
      </c>
      <c r="H23" s="47"/>
      <c r="I23" s="48">
        <f t="shared" si="1"/>
        <v>0</v>
      </c>
      <c r="J23" s="102"/>
      <c r="K23" s="16"/>
      <c r="L23" s="16"/>
      <c r="M23" s="16"/>
      <c r="N23" s="16"/>
      <c r="O23" s="16"/>
      <c r="P23" s="16"/>
      <c r="Q23" s="16"/>
      <c r="R23" s="16"/>
      <c r="S23" s="16"/>
      <c r="T23" s="53"/>
    </row>
    <row r="24" spans="1:20" ht="15" thickBot="1" x14ac:dyDescent="0.35">
      <c r="A24" s="67">
        <v>46359</v>
      </c>
      <c r="B24" s="55" t="s">
        <v>35</v>
      </c>
      <c r="C24" s="56"/>
      <c r="D24" s="57"/>
      <c r="E24" s="57"/>
      <c r="F24" s="57"/>
      <c r="G24" s="58">
        <f t="shared" si="0"/>
        <v>0</v>
      </c>
      <c r="H24" s="57"/>
      <c r="I24" s="59">
        <f t="shared" si="1"/>
        <v>0</v>
      </c>
      <c r="J24" s="103"/>
      <c r="K24" s="60"/>
      <c r="L24" s="60"/>
      <c r="M24" s="60"/>
      <c r="N24" s="60"/>
      <c r="O24" s="60"/>
      <c r="P24" s="60"/>
      <c r="Q24" s="60"/>
      <c r="R24" s="60"/>
      <c r="S24" s="60"/>
      <c r="T24" s="61"/>
    </row>
    <row r="25" spans="1:20" x14ac:dyDescent="0.3">
      <c r="A25" s="38">
        <v>46360</v>
      </c>
      <c r="B25" s="39" t="s">
        <v>36</v>
      </c>
      <c r="C25" s="39"/>
      <c r="D25" s="40"/>
      <c r="E25" s="40"/>
      <c r="F25" s="40"/>
      <c r="G25" s="41">
        <f t="shared" si="0"/>
        <v>0</v>
      </c>
      <c r="H25" s="40"/>
      <c r="I25" s="62">
        <f t="shared" si="1"/>
        <v>0</v>
      </c>
      <c r="J25" s="88">
        <f>SUM(I25:I31)</f>
        <v>0</v>
      </c>
      <c r="K25" s="24"/>
      <c r="L25" s="24"/>
      <c r="M25" s="24"/>
      <c r="N25" s="24"/>
      <c r="O25" s="24"/>
      <c r="P25" s="24"/>
      <c r="Q25" s="24"/>
      <c r="R25" s="24"/>
      <c r="S25" s="24"/>
      <c r="T25" s="43"/>
    </row>
    <row r="26" spans="1:20" x14ac:dyDescent="0.3">
      <c r="A26" s="38">
        <v>46361</v>
      </c>
      <c r="B26" s="44" t="s">
        <v>30</v>
      </c>
      <c r="C26" s="44"/>
      <c r="D26" s="45"/>
      <c r="E26" s="45"/>
      <c r="F26" s="45"/>
      <c r="G26" s="46">
        <f t="shared" si="0"/>
        <v>0</v>
      </c>
      <c r="H26" s="45"/>
      <c r="I26" s="63">
        <f t="shared" si="1"/>
        <v>0</v>
      </c>
      <c r="J26" s="89"/>
      <c r="K26" s="49"/>
      <c r="L26" s="49"/>
      <c r="M26" s="49"/>
      <c r="N26" s="49"/>
      <c r="O26" s="49"/>
      <c r="P26" s="49"/>
      <c r="Q26" s="49"/>
      <c r="R26" s="49"/>
      <c r="S26" s="49"/>
      <c r="T26" s="50"/>
    </row>
    <row r="27" spans="1:20" x14ac:dyDescent="0.3">
      <c r="A27" s="38">
        <v>46362</v>
      </c>
      <c r="B27" s="44" t="s">
        <v>31</v>
      </c>
      <c r="C27" s="44"/>
      <c r="D27" s="45"/>
      <c r="E27" s="45"/>
      <c r="F27" s="45"/>
      <c r="G27" s="46">
        <f t="shared" si="0"/>
        <v>0</v>
      </c>
      <c r="H27" s="45"/>
      <c r="I27" s="63">
        <f t="shared" si="1"/>
        <v>0</v>
      </c>
      <c r="J27" s="89"/>
      <c r="K27" s="49"/>
      <c r="L27" s="49"/>
      <c r="M27" s="49"/>
      <c r="N27" s="49"/>
      <c r="O27" s="49"/>
      <c r="P27" s="49"/>
      <c r="Q27" s="49"/>
      <c r="R27" s="49"/>
      <c r="S27" s="49"/>
      <c r="T27" s="50"/>
    </row>
    <row r="28" spans="1:20" x14ac:dyDescent="0.3">
      <c r="A28" s="38">
        <v>46363</v>
      </c>
      <c r="B28" s="64" t="s">
        <v>32</v>
      </c>
      <c r="C28" s="44"/>
      <c r="D28" s="45"/>
      <c r="E28" s="45"/>
      <c r="F28" s="45"/>
      <c r="G28" s="46">
        <f t="shared" si="0"/>
        <v>0</v>
      </c>
      <c r="H28" s="45"/>
      <c r="I28" s="63">
        <f t="shared" si="1"/>
        <v>0</v>
      </c>
      <c r="J28" s="8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0" x14ac:dyDescent="0.3">
      <c r="A29" s="38">
        <v>46364</v>
      </c>
      <c r="B29" s="44" t="s">
        <v>33</v>
      </c>
      <c r="C29" s="44"/>
      <c r="D29" s="45"/>
      <c r="E29" s="45"/>
      <c r="F29" s="45"/>
      <c r="G29" s="46">
        <f t="shared" si="0"/>
        <v>0</v>
      </c>
      <c r="H29" s="45"/>
      <c r="I29" s="63">
        <f t="shared" si="1"/>
        <v>0</v>
      </c>
      <c r="J29" s="90"/>
      <c r="K29" s="16"/>
      <c r="L29" s="16"/>
      <c r="M29" s="16"/>
      <c r="N29" s="16"/>
      <c r="O29" s="16"/>
      <c r="P29" s="16"/>
      <c r="Q29" s="16"/>
      <c r="R29" s="16"/>
      <c r="S29" s="16"/>
      <c r="T29" s="53"/>
    </row>
    <row r="30" spans="1:20" x14ac:dyDescent="0.3">
      <c r="A30" s="38">
        <v>46365</v>
      </c>
      <c r="B30" s="44" t="s">
        <v>34</v>
      </c>
      <c r="C30" s="52"/>
      <c r="D30" s="47"/>
      <c r="E30" s="47"/>
      <c r="F30" s="47"/>
      <c r="G30" s="46">
        <f t="shared" si="0"/>
        <v>0</v>
      </c>
      <c r="H30" s="47"/>
      <c r="I30" s="63">
        <f t="shared" si="1"/>
        <v>0</v>
      </c>
      <c r="J30" s="90"/>
      <c r="K30" s="16"/>
      <c r="L30" s="16"/>
      <c r="M30" s="16"/>
      <c r="N30" s="16"/>
      <c r="O30" s="16"/>
      <c r="P30" s="16"/>
      <c r="Q30" s="16"/>
      <c r="R30" s="16"/>
      <c r="S30" s="16"/>
      <c r="T30" s="53"/>
    </row>
    <row r="31" spans="1:20" ht="15" thickBot="1" x14ac:dyDescent="0.35">
      <c r="A31" s="67">
        <v>46366</v>
      </c>
      <c r="B31" s="85" t="s">
        <v>35</v>
      </c>
      <c r="C31" s="56"/>
      <c r="D31" s="57"/>
      <c r="E31" s="57"/>
      <c r="F31" s="57"/>
      <c r="G31" s="58">
        <f t="shared" si="0"/>
        <v>0</v>
      </c>
      <c r="H31" s="57"/>
      <c r="I31" s="59">
        <f t="shared" si="1"/>
        <v>0</v>
      </c>
      <c r="J31" s="91"/>
      <c r="K31" s="60"/>
      <c r="L31" s="60"/>
      <c r="M31" s="60"/>
      <c r="N31" s="60"/>
      <c r="O31" s="60"/>
      <c r="P31" s="60"/>
      <c r="Q31" s="60"/>
      <c r="R31" s="60"/>
      <c r="S31" s="60"/>
      <c r="T31" s="61"/>
    </row>
    <row r="32" spans="1:20" x14ac:dyDescent="0.3">
      <c r="A32" s="38">
        <v>46367</v>
      </c>
      <c r="B32" s="78" t="s">
        <v>36</v>
      </c>
      <c r="C32" s="79"/>
      <c r="D32" s="80"/>
      <c r="E32" s="80"/>
      <c r="F32" s="80"/>
      <c r="G32" s="81">
        <f t="shared" si="0"/>
        <v>0</v>
      </c>
      <c r="H32" s="80"/>
      <c r="I32" s="82">
        <f t="shared" si="1"/>
        <v>0</v>
      </c>
      <c r="J32" s="104">
        <f>SUM(I32:I38)</f>
        <v>0</v>
      </c>
      <c r="K32" s="83"/>
      <c r="L32" s="83"/>
      <c r="M32" s="83"/>
      <c r="N32" s="83"/>
      <c r="O32" s="83"/>
      <c r="P32" s="83"/>
      <c r="Q32" s="83"/>
      <c r="R32" s="83"/>
      <c r="S32" s="83"/>
      <c r="T32" s="84"/>
    </row>
    <row r="33" spans="1:20" x14ac:dyDescent="0.3">
      <c r="A33" s="38">
        <v>46368</v>
      </c>
      <c r="B33" s="44" t="s">
        <v>30</v>
      </c>
      <c r="C33" s="44"/>
      <c r="D33" s="45"/>
      <c r="E33" s="45"/>
      <c r="F33" s="45"/>
      <c r="G33" s="46">
        <f t="shared" si="0"/>
        <v>0</v>
      </c>
      <c r="H33" s="45"/>
      <c r="I33" s="63">
        <f t="shared" si="1"/>
        <v>0</v>
      </c>
      <c r="J33" s="89"/>
      <c r="K33" s="49"/>
      <c r="L33" s="49"/>
      <c r="M33" s="49"/>
      <c r="N33" s="49"/>
      <c r="O33" s="49"/>
      <c r="P33" s="49"/>
      <c r="Q33" s="49"/>
      <c r="R33" s="49"/>
      <c r="S33" s="49"/>
      <c r="T33" s="50"/>
    </row>
    <row r="34" spans="1:20" x14ac:dyDescent="0.3">
      <c r="A34" s="38">
        <v>46369</v>
      </c>
      <c r="B34" s="44" t="s">
        <v>31</v>
      </c>
      <c r="C34" s="44"/>
      <c r="D34" s="45"/>
      <c r="E34" s="45"/>
      <c r="F34" s="45"/>
      <c r="G34" s="46">
        <f t="shared" si="0"/>
        <v>0</v>
      </c>
      <c r="H34" s="45"/>
      <c r="I34" s="63">
        <f t="shared" si="1"/>
        <v>0</v>
      </c>
      <c r="J34" s="89"/>
      <c r="K34" s="49"/>
      <c r="L34" s="49"/>
      <c r="M34" s="49"/>
      <c r="N34" s="49"/>
      <c r="O34" s="49"/>
      <c r="P34" s="49"/>
      <c r="Q34" s="49"/>
      <c r="R34" s="49"/>
      <c r="S34" s="49"/>
      <c r="T34" s="50"/>
    </row>
    <row r="35" spans="1:20" x14ac:dyDescent="0.3">
      <c r="A35" s="38">
        <v>46370</v>
      </c>
      <c r="B35" s="44" t="s">
        <v>32</v>
      </c>
      <c r="C35" s="44"/>
      <c r="D35" s="45"/>
      <c r="E35" s="45"/>
      <c r="F35" s="45"/>
      <c r="G35" s="46">
        <f t="shared" si="0"/>
        <v>0</v>
      </c>
      <c r="H35" s="45"/>
      <c r="I35" s="63">
        <f t="shared" si="1"/>
        <v>0</v>
      </c>
      <c r="J35" s="89"/>
      <c r="K35" s="49"/>
      <c r="L35" s="49"/>
      <c r="M35" s="49"/>
      <c r="N35" s="49"/>
      <c r="O35" s="49"/>
      <c r="P35" s="49"/>
      <c r="Q35" s="49"/>
      <c r="R35" s="49"/>
      <c r="S35" s="49"/>
      <c r="T35" s="50"/>
    </row>
    <row r="36" spans="1:20" x14ac:dyDescent="0.3">
      <c r="A36" s="38">
        <v>46371</v>
      </c>
      <c r="B36" s="44" t="s">
        <v>33</v>
      </c>
      <c r="C36" s="44"/>
      <c r="D36" s="45"/>
      <c r="E36" s="45"/>
      <c r="F36" s="45"/>
      <c r="G36" s="46">
        <f t="shared" si="0"/>
        <v>0</v>
      </c>
      <c r="H36" s="45"/>
      <c r="I36" s="63">
        <f t="shared" si="1"/>
        <v>0</v>
      </c>
      <c r="J36" s="90"/>
      <c r="K36" s="16"/>
      <c r="L36" s="16"/>
      <c r="M36" s="16"/>
      <c r="N36" s="16"/>
      <c r="O36" s="16"/>
      <c r="P36" s="16"/>
      <c r="Q36" s="16"/>
      <c r="R36" s="16"/>
      <c r="S36" s="16"/>
      <c r="T36" s="53"/>
    </row>
    <row r="37" spans="1:20" x14ac:dyDescent="0.3">
      <c r="A37" s="38">
        <v>46372</v>
      </c>
      <c r="B37" s="44" t="s">
        <v>34</v>
      </c>
      <c r="C37" s="52"/>
      <c r="D37" s="47"/>
      <c r="E37" s="47"/>
      <c r="F37" s="47"/>
      <c r="G37" s="46">
        <f t="shared" si="0"/>
        <v>0</v>
      </c>
      <c r="H37" s="47"/>
      <c r="I37" s="63">
        <f t="shared" si="1"/>
        <v>0</v>
      </c>
      <c r="J37" s="90"/>
      <c r="K37" s="16"/>
      <c r="L37" s="16"/>
      <c r="M37" s="16"/>
      <c r="N37" s="16"/>
      <c r="O37" s="16"/>
      <c r="P37" s="16"/>
      <c r="Q37" s="16"/>
      <c r="R37" s="16"/>
      <c r="S37" s="16"/>
      <c r="T37" s="53"/>
    </row>
    <row r="38" spans="1:20" ht="15" thickBot="1" x14ac:dyDescent="0.35">
      <c r="A38" s="67">
        <v>46373</v>
      </c>
      <c r="B38" s="55" t="s">
        <v>35</v>
      </c>
      <c r="C38" s="56"/>
      <c r="D38" s="57"/>
      <c r="E38" s="57"/>
      <c r="F38" s="57"/>
      <c r="G38" s="58">
        <f t="shared" si="0"/>
        <v>0</v>
      </c>
      <c r="H38" s="57"/>
      <c r="I38" s="59">
        <f t="shared" si="1"/>
        <v>0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1"/>
    </row>
    <row r="39" spans="1:20" x14ac:dyDescent="0.3">
      <c r="A39" s="38">
        <v>46374</v>
      </c>
      <c r="B39" s="78" t="s">
        <v>36</v>
      </c>
      <c r="C39" s="79"/>
      <c r="D39" s="80"/>
      <c r="E39" s="80"/>
      <c r="F39" s="80"/>
      <c r="G39" s="81">
        <f t="shared" si="0"/>
        <v>0</v>
      </c>
      <c r="H39" s="80"/>
      <c r="I39" s="82">
        <f t="shared" si="1"/>
        <v>0</v>
      </c>
      <c r="J39" s="104">
        <f>SUM(I39:I45)</f>
        <v>0</v>
      </c>
      <c r="K39" s="83"/>
      <c r="L39" s="83"/>
      <c r="M39" s="83"/>
      <c r="N39" s="83"/>
      <c r="O39" s="83"/>
      <c r="P39" s="83"/>
      <c r="Q39" s="83"/>
      <c r="R39" s="83"/>
      <c r="S39" s="83"/>
      <c r="T39" s="84"/>
    </row>
    <row r="40" spans="1:20" x14ac:dyDescent="0.3">
      <c r="A40" s="38">
        <v>46375</v>
      </c>
      <c r="B40" s="44" t="s">
        <v>30</v>
      </c>
      <c r="C40" s="44"/>
      <c r="D40" s="45"/>
      <c r="E40" s="45"/>
      <c r="F40" s="45"/>
      <c r="G40" s="46">
        <f t="shared" si="0"/>
        <v>0</v>
      </c>
      <c r="H40" s="45"/>
      <c r="I40" s="63">
        <f t="shared" si="1"/>
        <v>0</v>
      </c>
      <c r="J40" s="89"/>
      <c r="K40" s="49"/>
      <c r="L40" s="49"/>
      <c r="M40" s="49"/>
      <c r="N40" s="49"/>
      <c r="O40" s="49"/>
      <c r="P40" s="49"/>
      <c r="Q40" s="49"/>
      <c r="R40" s="49"/>
      <c r="S40" s="49"/>
      <c r="T40" s="50"/>
    </row>
    <row r="41" spans="1:20" x14ac:dyDescent="0.3">
      <c r="A41" s="38">
        <v>46376</v>
      </c>
      <c r="B41" s="44" t="s">
        <v>31</v>
      </c>
      <c r="C41" s="44"/>
      <c r="D41" s="45"/>
      <c r="E41" s="45"/>
      <c r="F41" s="45"/>
      <c r="G41" s="46">
        <f t="shared" si="0"/>
        <v>0</v>
      </c>
      <c r="H41" s="45"/>
      <c r="I41" s="63">
        <f t="shared" si="1"/>
        <v>0</v>
      </c>
      <c r="J41" s="89"/>
      <c r="K41" s="49"/>
      <c r="L41" s="49"/>
      <c r="M41" s="49"/>
      <c r="N41" s="49"/>
      <c r="O41" s="49"/>
      <c r="P41" s="49"/>
      <c r="Q41" s="49"/>
      <c r="R41" s="49"/>
      <c r="S41" s="49"/>
      <c r="T41" s="50"/>
    </row>
    <row r="42" spans="1:20" x14ac:dyDescent="0.3">
      <c r="A42" s="38">
        <v>46377</v>
      </c>
      <c r="B42" s="44" t="s">
        <v>32</v>
      </c>
      <c r="C42" s="44"/>
      <c r="D42" s="45"/>
      <c r="E42" s="45"/>
      <c r="F42" s="45"/>
      <c r="G42" s="46">
        <f t="shared" si="0"/>
        <v>0</v>
      </c>
      <c r="H42" s="45"/>
      <c r="I42" s="63">
        <f t="shared" si="1"/>
        <v>0</v>
      </c>
      <c r="J42" s="89"/>
      <c r="K42" s="49"/>
      <c r="L42" s="49"/>
      <c r="M42" s="49"/>
      <c r="N42" s="49"/>
      <c r="O42" s="49"/>
      <c r="P42" s="49"/>
      <c r="Q42" s="49"/>
      <c r="R42" s="49"/>
      <c r="S42" s="49"/>
      <c r="T42" s="50"/>
    </row>
    <row r="43" spans="1:20" x14ac:dyDescent="0.3">
      <c r="A43" s="38">
        <v>46378</v>
      </c>
      <c r="B43" s="44" t="s">
        <v>33</v>
      </c>
      <c r="C43" s="44"/>
      <c r="D43" s="45"/>
      <c r="E43" s="45"/>
      <c r="F43" s="45"/>
      <c r="G43" s="46">
        <f t="shared" si="0"/>
        <v>0</v>
      </c>
      <c r="H43" s="45"/>
      <c r="I43" s="63">
        <f t="shared" si="1"/>
        <v>0</v>
      </c>
      <c r="J43" s="90"/>
      <c r="K43" s="16"/>
      <c r="L43" s="16"/>
      <c r="M43" s="16"/>
      <c r="N43" s="16"/>
      <c r="O43" s="16"/>
      <c r="P43" s="16"/>
      <c r="Q43" s="16"/>
      <c r="R43" s="16"/>
      <c r="S43" s="16"/>
      <c r="T43" s="53"/>
    </row>
    <row r="44" spans="1:20" x14ac:dyDescent="0.3">
      <c r="A44" s="38">
        <v>46379</v>
      </c>
      <c r="B44" s="44" t="s">
        <v>34</v>
      </c>
      <c r="C44" s="52"/>
      <c r="D44" s="47"/>
      <c r="E44" s="47"/>
      <c r="F44" s="47"/>
      <c r="G44" s="46">
        <f t="shared" si="0"/>
        <v>0</v>
      </c>
      <c r="H44" s="47"/>
      <c r="I44" s="63">
        <f t="shared" si="1"/>
        <v>0</v>
      </c>
      <c r="J44" s="90"/>
      <c r="K44" s="16"/>
      <c r="L44" s="16"/>
      <c r="M44" s="16"/>
      <c r="N44" s="16"/>
      <c r="O44" s="16"/>
      <c r="P44" s="16"/>
      <c r="Q44" s="16"/>
      <c r="R44" s="16"/>
      <c r="S44" s="16"/>
      <c r="T44" s="53"/>
    </row>
    <row r="45" spans="1:20" ht="15" thickBot="1" x14ac:dyDescent="0.35">
      <c r="A45" s="67">
        <v>46380</v>
      </c>
      <c r="B45" s="55" t="s">
        <v>35</v>
      </c>
      <c r="C45" s="56"/>
      <c r="D45" s="57"/>
      <c r="E45" s="57"/>
      <c r="F45" s="57"/>
      <c r="G45" s="58">
        <f t="shared" si="0"/>
        <v>0</v>
      </c>
      <c r="H45" s="57"/>
      <c r="I45" s="59">
        <f t="shared" si="1"/>
        <v>0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1"/>
    </row>
    <row r="46" spans="1:20" x14ac:dyDescent="0.3">
      <c r="A46" s="92" t="s">
        <v>37</v>
      </c>
      <c r="B46" s="93"/>
      <c r="C46" s="93"/>
      <c r="D46" s="94"/>
      <c r="E46" s="68"/>
      <c r="F46" s="68"/>
      <c r="G46" s="69">
        <f>SUM(G11:G38)</f>
        <v>0</v>
      </c>
      <c r="H46" s="70"/>
      <c r="I46" s="71"/>
      <c r="J46" s="72">
        <f>SUM(J11:J38)</f>
        <v>0</v>
      </c>
      <c r="K46" s="73"/>
      <c r="L46" s="73"/>
      <c r="M46" s="74">
        <f>SUM(M25:M38)</f>
        <v>0</v>
      </c>
      <c r="N46" s="73"/>
      <c r="O46" s="73"/>
      <c r="P46" s="74">
        <f>SUM(P25:P38)</f>
        <v>0</v>
      </c>
      <c r="Q46" s="73"/>
      <c r="R46" s="73"/>
      <c r="S46" s="74">
        <f>SUM(S25:S38)</f>
        <v>0</v>
      </c>
      <c r="T46" s="73"/>
    </row>
    <row r="47" spans="1:20" x14ac:dyDescent="0.3">
      <c r="A47" s="4"/>
      <c r="B47" s="4"/>
      <c r="C47" s="4"/>
      <c r="D47" s="75"/>
      <c r="E47" s="9"/>
      <c r="F47" s="9"/>
      <c r="G47" s="9"/>
      <c r="H47" s="75"/>
      <c r="I47" s="76"/>
      <c r="J47" s="77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 t="s">
        <v>38</v>
      </c>
      <c r="B48" s="4"/>
      <c r="C48" s="4"/>
      <c r="D48" s="75"/>
      <c r="E48" s="9"/>
      <c r="F48" s="9"/>
      <c r="G48" s="9"/>
      <c r="H48" s="75"/>
      <c r="I48" s="76"/>
      <c r="J48" s="77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75"/>
      <c r="E49" s="9"/>
      <c r="F49" s="9"/>
      <c r="G49" s="9"/>
      <c r="H49" s="75"/>
      <c r="I49" s="76"/>
      <c r="J49" s="77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10" t="s">
        <v>39</v>
      </c>
      <c r="B50" s="4"/>
      <c r="C50" s="4"/>
      <c r="D50" s="75"/>
      <c r="E50" s="9"/>
      <c r="F50" s="9"/>
      <c r="G50" s="9"/>
      <c r="H50" s="75"/>
      <c r="I50" s="76"/>
      <c r="J50" s="77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mergeCells count="14">
    <mergeCell ref="J39:J45"/>
    <mergeCell ref="A46:D46"/>
    <mergeCell ref="I8:I10"/>
    <mergeCell ref="J8:J10"/>
    <mergeCell ref="J11:J17"/>
    <mergeCell ref="J18:J24"/>
    <mergeCell ref="J25:J31"/>
    <mergeCell ref="J32:J38"/>
    <mergeCell ref="A4:B4"/>
    <mergeCell ref="C4:D4"/>
    <mergeCell ref="A5:Q5"/>
    <mergeCell ref="K6:M7"/>
    <mergeCell ref="N6:P7"/>
    <mergeCell ref="Q6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January2026</vt:lpstr>
      <vt:lpstr>February2026</vt:lpstr>
      <vt:lpstr>March2026</vt:lpstr>
      <vt:lpstr>April2026</vt:lpstr>
      <vt:lpstr>May2026</vt:lpstr>
      <vt:lpstr>June2026</vt:lpstr>
      <vt:lpstr>July2026</vt:lpstr>
      <vt:lpstr>August2026</vt:lpstr>
      <vt:lpstr>September2026</vt:lpstr>
      <vt:lpstr>October2026</vt:lpstr>
      <vt:lpstr>November2026</vt:lpstr>
      <vt:lpstr>December2026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Raylene Wolfaardt</dc:creator>
  <cp:lastModifiedBy>Luano van Eck</cp:lastModifiedBy>
  <dcterms:created xsi:type="dcterms:W3CDTF">2025-12-23T12:28:17Z</dcterms:created>
  <dcterms:modified xsi:type="dcterms:W3CDTF">2026-01-27T05:57:53Z</dcterms:modified>
</cp:coreProperties>
</file>